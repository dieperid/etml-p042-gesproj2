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z21bmv\Desktop\GestProj2\"/>
    </mc:Choice>
  </mc:AlternateContent>
  <bookViews>
    <workbookView xWindow="0" yWindow="0" windowWidth="28800" windowHeight="12330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31" i="163" s="1"/>
  <c r="D50" i="163" s="1"/>
  <c r="D69" i="163" s="1"/>
  <c r="D88" i="163" s="1"/>
  <c r="D107" i="163" s="1"/>
  <c r="D126" i="163" s="1"/>
  <c r="D145" i="163" s="1"/>
  <c r="D164" i="163" s="1"/>
  <c r="D183" i="163" s="1"/>
  <c r="D202" i="163" s="1"/>
  <c r="D221" i="163" s="1"/>
  <c r="B238" i="163"/>
  <c r="B219" i="163"/>
  <c r="B200" i="163"/>
  <c r="B181" i="163"/>
  <c r="B162" i="163"/>
  <c r="B143" i="163"/>
  <c r="B124" i="163"/>
  <c r="B105" i="163"/>
  <c r="B86" i="163"/>
  <c r="B67" i="163"/>
  <c r="B48" i="163"/>
  <c r="B29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<sst xmlns="http://schemas.openxmlformats.org/spreadsheetml/2006/main" count="293" uniqueCount="68">
  <si>
    <t>Module :</t>
  </si>
  <si>
    <t>P_GesProj2</t>
  </si>
  <si>
    <t>Prénom - nom :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</si>
  <si>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</si>
  <si>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</si>
  <si>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</si>
  <si>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</si>
  <si>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</si>
  <si>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</si>
  <si>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</si>
  <si>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</si>
  <si>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</si>
  <si>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</si>
  <si>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</si>
  <si>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</si>
  <si>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</si>
  <si>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</si>
  <si>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</si>
  <si>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</si>
  <si>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</si>
  <si>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</si>
  <si>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</si>
  <si>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</si>
  <si>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</si>
  <si>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</si>
  <si>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</si>
  <si>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</si>
  <si>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</si>
  <si>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</si>
  <si>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</si>
  <si>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</si>
  <si>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</si>
  <si>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</si>
  <si>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</si>
  <si>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</si>
  <si>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</si>
  <si>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</si>
  <si>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</si>
  <si>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</si>
  <si>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</si>
  <si>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</si>
  <si>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</si>
  <si>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</si>
  <si>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</si>
  <si>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</si>
  <si>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</si>
  <si>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</si>
  <si>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</si>
  <si>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</si>
  <si>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</si>
  <si>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</si>
  <si>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</si>
  <si>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</si>
  <si>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</si>
  <si>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</si>
  <si>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</si>
  <si>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</si>
  <si>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</si>
  <si>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</si>
  <si>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</si>
  <si>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</si>
  <si>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Stefan Petrovic</t>
  </si>
  <si>
    <t>Réunion et explication des tâches effectuée au prof</t>
  </si>
  <si>
    <t>Répartition des tâches ( qui fait quoi )</t>
  </si>
  <si>
    <t>Réglage des différents soucis dans le script sql de la db</t>
  </si>
  <si>
    <t>Importation des données dans toutes les tables de la db</t>
  </si>
  <si>
    <t>Remplissage du journal de travail</t>
  </si>
  <si>
    <t>Implémentation des rêquetes SQL sur le site web avec Alexis. (Tests php, variables, création de checkbox pour filtrer les téléphones par marque et par Os.)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</si>
</sst>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61</v>
      </c>
      <c r="D4" s="60"/>
      <c r="E4" s="60"/>
      <c r="F4" s="60"/>
      <c r="G4" s="61"/>
    </row>
    <row r="5" spans="1:7" ht="20.25" x14ac:dyDescent="0.25">
      <c r="A5" s="59"/>
      <c r="B5" s="64" t="s">
        <v>3</v>
      </c>
      <c r="C5" s="65" t="s">
        <v>4</v>
      </c>
      <c r="D5" s="60"/>
      <c r="E5" s="60"/>
      <c r="F5" s="60"/>
      <c r="G5" s="61"/>
    </row>
    <row r="6" spans="1:7" ht="21" thickBot="1" x14ac:dyDescent="0.3">
      <c r="A6" s="59"/>
      <c r="B6" s="66" t="s">
        <v>5</v>
      </c>
      <c r="C6" s="67" t="s">
        <v>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7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12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13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14</v>
      </c>
      <c r="C20" s="81" t="s">
        <v>15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19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26</v>
      </c>
      <c r="C2" s="15" t="s">
        <v>27</v>
      </c>
      <c r="D2" s="118" t="s">
        <v>28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29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30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31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32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33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34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35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  <c r="CV2" s="118" t="s">
        <v>36</v>
      </c>
      <c r="CW2" s="119"/>
      <c r="CX2" s="119"/>
      <c r="CY2" s="119"/>
      <c r="CZ2" s="119"/>
      <c r="DA2" s="119"/>
      <c r="DB2" s="119"/>
      <c r="DC2" s="119"/>
      <c r="DD2" s="119"/>
      <c r="DE2" s="119"/>
      <c r="DF2" s="119"/>
      <c r="DG2" s="120"/>
      <c r="DH2" s="118" t="s">
        <v>37</v>
      </c>
      <c r="DI2" s="119"/>
      <c r="DJ2" s="119"/>
      <c r="DK2" s="119"/>
      <c r="DL2" s="119"/>
      <c r="DM2" s="119"/>
      <c r="DN2" s="119"/>
      <c r="DO2" s="119"/>
      <c r="DP2" s="119"/>
      <c r="DQ2" s="119"/>
      <c r="DR2" s="119"/>
      <c r="DS2" s="120"/>
      <c r="DT2" s="118" t="s">
        <v>38</v>
      </c>
      <c r="DU2" s="119"/>
      <c r="DV2" s="119"/>
      <c r="DW2" s="119"/>
      <c r="DX2" s="119"/>
      <c r="DY2" s="119"/>
      <c r="DZ2" s="119"/>
      <c r="EA2" s="119"/>
      <c r="EB2" s="119"/>
      <c r="EC2" s="119"/>
      <c r="ED2" s="119"/>
      <c r="EE2" s="120"/>
      <c r="EF2" s="118" t="s">
        <v>39</v>
      </c>
      <c r="EG2" s="119"/>
      <c r="EH2" s="119"/>
      <c r="EI2" s="119"/>
      <c r="EJ2" s="119"/>
      <c r="EK2" s="119"/>
      <c r="EL2" s="119"/>
      <c r="EM2" s="119"/>
      <c r="EN2" s="119"/>
      <c r="EO2" s="119"/>
      <c r="EP2" s="119"/>
      <c r="EQ2" s="120"/>
      <c r="ER2" s="118" t="s">
        <v>40</v>
      </c>
      <c r="ES2" s="119"/>
      <c r="ET2" s="119"/>
      <c r="EU2" s="119"/>
      <c r="EV2" s="119"/>
      <c r="EW2" s="119"/>
      <c r="EX2" s="119"/>
      <c r="EY2" s="119"/>
      <c r="EZ2" s="119"/>
      <c r="FA2" s="119"/>
      <c r="FB2" s="119"/>
      <c r="FC2" s="120"/>
    </row>
    <row r="3" spans="1:159" ht="19.5" customHeight="1" x14ac:dyDescent="0.25">
      <c r="A3" s="92"/>
      <c r="B3" s="123" t="s">
        <v>15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24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25" t="str">
        <f>Donnees!$C$21</f>
        <v>Lecture du CDC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22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21" t="str">
        <f>Donnees!$C$22</f>
        <v>Répartition des tâches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22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21" t="str">
        <f>Donnees!$C$23</f>
        <v>Collecte de données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22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21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22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21" t="str">
        <f>Donnees!$C$25</f>
        <v>Modélisation de la base de données (MCD, MLD, MPD)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22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21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22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21" t="str">
        <f>Donnees!$C$27</f>
        <v>Requêtes SQL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22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21" t="str">
        <f>Donnees!$C$28</f>
        <v>Création du site web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22"/>
      <c r="C20" s="104">
        <v>0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21" t="str">
        <f>Donnees!$C$29</f>
        <v>Planification du projet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22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21" t="str">
        <f>Donnees!$C$30</f>
        <v>Journal de travail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22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41</v>
      </c>
      <c r="C25" s="27">
        <f>SUM($C$3,$C$5,$C$7,$C$9,$C$11,$C$13,$C$15,$C$17,$C$19,$C$21,$C$23)</f>
        <v>0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42</v>
      </c>
      <c r="C26" s="28">
        <f>SUM($C$4,$C$6,$C$8,$C$10,$C$12,$C$14,$C$16,$C$18,$C$20,$C$22,$C$24)</f>
        <v>0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B11:B12"/>
    <mergeCell ref="B13:B14"/>
    <mergeCell ref="D2:O2"/>
    <mergeCell ref="B3:B4"/>
    <mergeCell ref="B5:B6"/>
    <mergeCell ref="B7:B8"/>
    <mergeCell ref="B9:B10"/>
    <mergeCell ref="B15:B16"/>
    <mergeCell ref="B17:B18"/>
    <mergeCell ref="B19:B20"/>
    <mergeCell ref="B21:B22"/>
    <mergeCell ref="B23:B24"/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26</v>
      </c>
      <c r="C2" s="15" t="s">
        <v>27</v>
      </c>
    </row>
    <row r="3" spans="1:4" ht="19.5" customHeight="1" x14ac:dyDescent="0.25">
      <c r="A3" s="19"/>
      <c r="B3" s="123" t="s">
        <v>15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41</v>
      </c>
      <c r="C3" s="27">
        <v>0</v>
      </c>
    </row>
    <row r="4" spans="2:3" ht="18.75" thickBot="1" x14ac:dyDescent="0.3">
      <c r="B4" s="26" t="s">
        <v>42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43</v>
      </c>
      <c r="B1" s="7">
        <v>1</v>
      </c>
      <c r="C1" s="17"/>
      <c r="D1" s="87"/>
    </row>
    <row r="2" spans="1:4" ht="27.75" thickBot="1" x14ac:dyDescent="0.3">
      <c r="A2" s="8" t="s">
        <v>44</v>
      </c>
      <c r="B2" s="18" t="s">
        <v>45</v>
      </c>
      <c r="C2" s="8" t="s">
        <v>46</v>
      </c>
      <c r="D2" s="8" t="s">
        <v>47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48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>
      <selection activeCell="C11" sqref="C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43</v>
      </c>
      <c r="B1" s="7">
        <v>1</v>
      </c>
      <c r="C1" s="17"/>
      <c r="D1" s="87"/>
    </row>
    <row r="2" spans="1:4" ht="27.75" thickBot="1" x14ac:dyDescent="0.3">
      <c r="A2" s="8" t="s">
        <v>44</v>
      </c>
      <c r="B2" s="18" t="s">
        <v>45</v>
      </c>
      <c r="C2" s="8" t="s">
        <v>46</v>
      </c>
      <c r="D2" s="8" t="s">
        <v>47</v>
      </c>
    </row>
    <row r="3" spans="1:4" s="53" customFormat="1" x14ac:dyDescent="0.25">
      <c r="A3" s="5" t="s">
        <v>16</v>
      </c>
      <c r="B3" s="4">
        <v>3</v>
      </c>
      <c r="C3" s="113" t="s">
        <v>49</v>
      </c>
      <c r="D3" s="9"/>
    </row>
    <row r="4" spans="1:4" s="53" customFormat="1" ht="27" x14ac:dyDescent="0.25">
      <c r="A4" s="1" t="s">
        <v>17</v>
      </c>
      <c r="B4" s="2">
        <v>3</v>
      </c>
      <c r="C4" s="114" t="s">
        <v>50</v>
      </c>
      <c r="D4" s="10"/>
    </row>
    <row r="5" spans="1:4" s="53" customFormat="1" x14ac:dyDescent="0.25">
      <c r="A5" s="1" t="s">
        <v>18</v>
      </c>
      <c r="B5" s="2">
        <v>5</v>
      </c>
      <c r="C5" s="114" t="s">
        <v>51</v>
      </c>
      <c r="D5" s="10"/>
    </row>
    <row r="6" spans="1:4" s="53" customFormat="1" x14ac:dyDescent="0.25">
      <c r="A6" s="1" t="s">
        <v>25</v>
      </c>
      <c r="B6" s="2">
        <v>1</v>
      </c>
      <c r="C6" s="114" t="s">
        <v>52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48</v>
      </c>
      <c r="B13" s="12">
        <f>SUM(B3:B12)</f>
        <v>12</v>
      </c>
      <c r="C13" s="88" t="s">
        <v>53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43</v>
      </c>
      <c r="B15" s="7">
        <v>2</v>
      </c>
      <c r="C15" s="17"/>
      <c r="D15" s="87"/>
    </row>
    <row r="16" spans="1:4" ht="27.75" thickBot="1" x14ac:dyDescent="0.3">
      <c r="A16" s="8" t="s">
        <v>44</v>
      </c>
      <c r="B16" s="18" t="s">
        <v>45</v>
      </c>
      <c r="C16" s="8" t="s">
        <v>46</v>
      </c>
      <c r="D16" s="8" t="s">
        <v>47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48</v>
      </c>
      <c r="B27" s="12">
        <f>SUM(B17:B26)</f>
        <v>0</v>
      </c>
      <c r="C27" s="88" t="s">
        <v>53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44</v>
      </c>
      <c r="B30" s="18" t="s">
        <v>45</v>
      </c>
      <c r="C30" s="8" t="s">
        <v>46</v>
      </c>
      <c r="D30" s="8" t="s">
        <v>47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48</v>
      </c>
      <c r="B41" s="12">
        <f>SUM(B31:B40)</f>
        <v>0</v>
      </c>
      <c r="C41" s="88" t="s">
        <v>53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43</v>
      </c>
      <c r="B43" s="7">
        <v>4</v>
      </c>
      <c r="C43" s="17"/>
      <c r="D43" s="87"/>
    </row>
    <row r="44" spans="1:9" ht="27.75" thickBot="1" x14ac:dyDescent="0.3">
      <c r="A44" s="8" t="s">
        <v>44</v>
      </c>
      <c r="B44" s="18" t="s">
        <v>45</v>
      </c>
      <c r="C44" s="8" t="s">
        <v>46</v>
      </c>
      <c r="D44" s="8" t="s">
        <v>47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48</v>
      </c>
      <c r="B55" s="12">
        <f>SUM(B45:B54)</f>
        <v>0</v>
      </c>
      <c r="C55" s="88" t="s">
        <v>53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43</v>
      </c>
      <c r="B57" s="7">
        <v>5</v>
      </c>
      <c r="C57" s="17"/>
      <c r="D57" s="87"/>
    </row>
    <row r="58" spans="1:4" ht="27.75" thickBot="1" x14ac:dyDescent="0.3">
      <c r="A58" s="8" t="s">
        <v>44</v>
      </c>
      <c r="B58" s="18" t="s">
        <v>45</v>
      </c>
      <c r="C58" s="8" t="s">
        <v>46</v>
      </c>
      <c r="D58" s="8" t="s">
        <v>47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48</v>
      </c>
      <c r="B69" s="12">
        <f>SUM(B59:B68)</f>
        <v>0</v>
      </c>
      <c r="C69" s="88" t="s">
        <v>53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43</v>
      </c>
      <c r="B71" s="7">
        <v>6</v>
      </c>
      <c r="C71" s="17"/>
      <c r="D71" s="87"/>
    </row>
    <row r="72" spans="1:4" ht="27.75" thickBot="1" x14ac:dyDescent="0.3">
      <c r="A72" s="8" t="s">
        <v>44</v>
      </c>
      <c r="B72" s="18" t="s">
        <v>45</v>
      </c>
      <c r="C72" s="8" t="s">
        <v>46</v>
      </c>
      <c r="D72" s="8" t="s">
        <v>47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48</v>
      </c>
      <c r="B83" s="12">
        <f>SUM(B73:B82)</f>
        <v>0</v>
      </c>
      <c r="C83" s="88" t="s">
        <v>53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43</v>
      </c>
      <c r="B85" s="7">
        <v>7</v>
      </c>
      <c r="C85" s="17"/>
      <c r="D85" s="87"/>
    </row>
    <row r="86" spans="1:4" ht="27.75" thickBot="1" x14ac:dyDescent="0.3">
      <c r="A86" s="8" t="s">
        <v>44</v>
      </c>
      <c r="B86" s="18" t="s">
        <v>45</v>
      </c>
      <c r="C86" s="8" t="s">
        <v>46</v>
      </c>
      <c r="D86" s="8" t="s">
        <v>47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48</v>
      </c>
      <c r="B97" s="12">
        <f>SUM(B87:B96)</f>
        <v>0</v>
      </c>
      <c r="C97" s="88" t="s">
        <v>53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43</v>
      </c>
      <c r="B99" s="7">
        <v>8</v>
      </c>
      <c r="C99" s="17"/>
      <c r="D99" s="87"/>
    </row>
    <row r="100" spans="1:4" ht="27.75" thickBot="1" x14ac:dyDescent="0.3">
      <c r="A100" s="8" t="s">
        <v>44</v>
      </c>
      <c r="B100" s="18" t="s">
        <v>45</v>
      </c>
      <c r="C100" s="8" t="s">
        <v>46</v>
      </c>
      <c r="D100" s="8" t="s">
        <v>47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48</v>
      </c>
      <c r="B111" s="12">
        <f>SUM(B101:B110)</f>
        <v>0</v>
      </c>
      <c r="C111" s="88" t="s">
        <v>53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43</v>
      </c>
      <c r="B113" s="7">
        <v>9</v>
      </c>
      <c r="C113" s="17"/>
      <c r="D113" s="87"/>
    </row>
    <row r="114" spans="1:4" ht="27.75" thickBot="1" x14ac:dyDescent="0.3">
      <c r="A114" s="8" t="s">
        <v>44</v>
      </c>
      <c r="B114" s="18" t="s">
        <v>45</v>
      </c>
      <c r="C114" s="8" t="s">
        <v>46</v>
      </c>
      <c r="D114" s="8" t="s">
        <v>47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48</v>
      </c>
      <c r="B125" s="12">
        <f>SUM(B115:B124)</f>
        <v>0</v>
      </c>
      <c r="C125" s="88" t="s">
        <v>53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43</v>
      </c>
      <c r="B127" s="7">
        <v>10</v>
      </c>
      <c r="C127" s="17"/>
      <c r="D127" s="87"/>
    </row>
    <row r="128" spans="1:4" ht="27.75" thickBot="1" x14ac:dyDescent="0.3">
      <c r="A128" s="8" t="s">
        <v>44</v>
      </c>
      <c r="B128" s="18" t="s">
        <v>45</v>
      </c>
      <c r="C128" s="8" t="s">
        <v>46</v>
      </c>
      <c r="D128" s="8" t="s">
        <v>47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48</v>
      </c>
      <c r="B139" s="12">
        <f>SUM(B129:B138)</f>
        <v>0</v>
      </c>
      <c r="C139" s="88" t="s">
        <v>53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43</v>
      </c>
      <c r="B141" s="7">
        <v>11</v>
      </c>
      <c r="C141" s="17"/>
      <c r="D141" s="87"/>
    </row>
    <row r="142" spans="1:4" ht="27.75" thickBot="1" x14ac:dyDescent="0.3">
      <c r="A142" s="8" t="s">
        <v>44</v>
      </c>
      <c r="B142" s="18" t="s">
        <v>45</v>
      </c>
      <c r="C142" s="8" t="s">
        <v>46</v>
      </c>
      <c r="D142" s="8" t="s">
        <v>47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48</v>
      </c>
      <c r="B153" s="12">
        <f>SUM(B143:B152)</f>
        <v>0</v>
      </c>
      <c r="C153" s="88" t="s">
        <v>53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43</v>
      </c>
      <c r="B155" s="7">
        <v>12</v>
      </c>
      <c r="C155" s="17"/>
      <c r="D155" s="87"/>
    </row>
    <row r="156" spans="1:4" ht="27.75" thickBot="1" x14ac:dyDescent="0.3">
      <c r="A156" s="8" t="s">
        <v>44</v>
      </c>
      <c r="B156" s="18" t="s">
        <v>45</v>
      </c>
      <c r="C156" s="8" t="s">
        <v>46</v>
      </c>
      <c r="D156" s="8" t="s">
        <v>47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48</v>
      </c>
      <c r="B167" s="12">
        <f>SUM(B157:B166)</f>
        <v>0</v>
      </c>
      <c r="C167" s="88" t="s">
        <v>53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43</v>
      </c>
      <c r="B169" s="7">
        <v>13</v>
      </c>
      <c r="C169" s="17"/>
      <c r="D169" s="87"/>
    </row>
    <row r="170" spans="1:4" ht="27.75" thickBot="1" x14ac:dyDescent="0.3">
      <c r="A170" s="8" t="s">
        <v>44</v>
      </c>
      <c r="B170" s="18" t="s">
        <v>45</v>
      </c>
      <c r="C170" s="8" t="s">
        <v>46</v>
      </c>
      <c r="D170" s="8" t="s">
        <v>47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48</v>
      </c>
      <c r="B181" s="12">
        <f>SUM(B171:B180)</f>
        <v>0</v>
      </c>
      <c r="C181" s="88" t="s">
        <v>53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54</v>
      </c>
    </row>
  </sheetData>
  <sheetProtection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43</v>
      </c>
      <c r="B1" s="44">
        <v>1</v>
      </c>
      <c r="C1" s="45" t="s">
        <v>55</v>
      </c>
      <c r="D1" s="54"/>
    </row>
    <row r="2" spans="1:4" ht="27.75" thickBot="1" x14ac:dyDescent="0.3">
      <c r="A2" s="46" t="s">
        <v>44</v>
      </c>
      <c r="B2" s="47" t="s">
        <v>45</v>
      </c>
      <c r="C2" s="46" t="s">
        <v>46</v>
      </c>
      <c r="D2" s="46" t="s">
        <v>47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48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40"/>
  <sheetViews>
    <sheetView tabSelected="1" topLeftCell="A52" workbookViewId="0">
      <selection activeCell="C62" sqref="C6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43</v>
      </c>
      <c r="B1" s="44">
        <v>1</v>
      </c>
      <c r="C1" s="45" t="s">
        <v>55</v>
      </c>
      <c r="D1" s="54">
        <f>Donnees!$C$9</f>
        <v>44435</v>
      </c>
    </row>
    <row r="2" spans="1:9" ht="27.75" thickBot="1" x14ac:dyDescent="0.3">
      <c r="A2" s="46" t="s">
        <v>44</v>
      </c>
      <c r="B2" s="47" t="s">
        <v>45</v>
      </c>
      <c r="C2" s="46" t="s">
        <v>46</v>
      </c>
      <c r="D2" s="46" t="s">
        <v>47</v>
      </c>
    </row>
    <row r="3" spans="1:9" s="53" customFormat="1" x14ac:dyDescent="0.25">
      <c r="A3" s="5" t="s">
        <v>16</v>
      </c>
      <c r="B3" s="4">
        <v>3</v>
      </c>
      <c r="C3" s="113" t="s">
        <v>56</v>
      </c>
      <c r="D3" s="9"/>
    </row>
    <row r="4" spans="1:9" s="53" customFormat="1" ht="27" x14ac:dyDescent="0.25">
      <c r="A4" s="1" t="s">
        <v>17</v>
      </c>
      <c r="B4" s="2">
        <v>2</v>
      </c>
      <c r="C4" s="114" t="s">
        <v>57</v>
      </c>
      <c r="D4" s="10"/>
    </row>
    <row r="5" spans="1:9" s="53" customFormat="1" x14ac:dyDescent="0.25">
      <c r="A5" s="1" t="s">
        <v>18</v>
      </c>
      <c r="B5" s="2">
        <v>5</v>
      </c>
      <c r="C5" s="114" t="s">
        <v>58</v>
      </c>
      <c r="D5" s="115" t="s">
        <v>59</v>
      </c>
    </row>
    <row r="6" spans="1:9" s="53" customFormat="1" x14ac:dyDescent="0.25">
      <c r="A6" s="1" t="s">
        <v>25</v>
      </c>
      <c r="B6" s="2">
        <v>2</v>
      </c>
      <c r="C6" s="114" t="s">
        <v>60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48</v>
      </c>
      <c r="B10" s="48">
        <f>SUM(B3:B9)</f>
        <v>12</v>
      </c>
      <c r="C10" s="112" t="s">
        <v>53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43</v>
      </c>
      <c r="B12" s="44">
        <v>2</v>
      </c>
      <c r="C12" s="45" t="s">
        <v>55</v>
      </c>
      <c r="D12" s="54">
        <f>$D$1+7</f>
        <v>44442</v>
      </c>
    </row>
    <row r="13" spans="1:9" ht="27.75" thickBot="1" x14ac:dyDescent="0.3">
      <c r="A13" s="46" t="s">
        <v>44</v>
      </c>
      <c r="B13" s="47" t="s">
        <v>45</v>
      </c>
      <c r="C13" s="46" t="s">
        <v>46</v>
      </c>
      <c r="D13" s="46" t="s">
        <v>47</v>
      </c>
    </row>
    <row r="14" spans="1:9" x14ac:dyDescent="0.25">
      <c r="A14" s="5" t="s">
        <v>15</v>
      </c>
      <c r="B14" s="4">
        <v>12</v>
      </c>
      <c r="C14" s="9"/>
      <c r="D14" s="9"/>
    </row>
    <row r="15" spans="1:9" x14ac:dyDescent="0.25">
      <c r="A15" s="1"/>
      <c r="B15" s="2"/>
      <c r="C15" s="10"/>
      <c r="D15" s="10"/>
    </row>
    <row r="16" spans="1:9" x14ac:dyDescent="0.25">
      <c r="A16" s="1"/>
      <c r="B16" s="2"/>
      <c r="C16" s="10"/>
      <c r="D16" s="10"/>
      <c r="E16" s="20"/>
      <c r="F16" s="20"/>
      <c r="G16" s="20"/>
      <c r="H16" s="20"/>
      <c r="I16" s="20"/>
    </row>
    <row r="17" spans="1:9" ht="12.75" customHeight="1" x14ac:dyDescent="0.25">
      <c r="A17" s="1"/>
      <c r="B17" s="2"/>
      <c r="C17" s="10"/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x14ac:dyDescent="0.25">
      <c r="A21" s="1"/>
      <c r="B21" s="2"/>
      <c r="C21" s="10"/>
      <c r="D21" s="10"/>
      <c r="E21" s="20"/>
      <c r="F21" s="37"/>
      <c r="G21" s="38"/>
      <c r="H21" s="38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x14ac:dyDescent="0.25">
      <c r="A26" s="51"/>
      <c r="B26" s="51"/>
      <c r="C26" s="52"/>
      <c r="D26" s="52"/>
      <c r="E26" s="20"/>
      <c r="F26" s="37"/>
      <c r="G26" s="38"/>
      <c r="H26" s="38"/>
      <c r="I26" s="20"/>
    </row>
    <row r="27" spans="1:9" x14ac:dyDescent="0.25">
      <c r="A27" s="51"/>
      <c r="B27" s="51"/>
      <c r="C27" s="52"/>
      <c r="D27" s="52"/>
      <c r="E27" s="20"/>
      <c r="F27" s="39"/>
      <c r="G27" s="40"/>
      <c r="H27" s="40"/>
      <c r="I27" s="20"/>
    </row>
    <row r="28" spans="1:9" ht="15" thickBot="1" x14ac:dyDescent="0.35">
      <c r="A28" s="3"/>
      <c r="B28" s="3"/>
      <c r="C28" s="11"/>
      <c r="D28" s="11"/>
      <c r="E28" s="20"/>
      <c r="F28" s="41"/>
      <c r="G28" s="41"/>
      <c r="H28" s="41"/>
      <c r="I28" s="20"/>
    </row>
    <row r="29" spans="1:9" ht="14.25" thickBot="1" x14ac:dyDescent="0.3">
      <c r="A29" s="48" t="s">
        <v>48</v>
      </c>
      <c r="B29" s="48">
        <f>SUM(B14:B28)</f>
        <v>12</v>
      </c>
      <c r="C29" s="112" t="s">
        <v>53</v>
      </c>
      <c r="D29" s="49"/>
      <c r="E29" s="20"/>
      <c r="F29" s="20"/>
      <c r="G29" s="20"/>
      <c r="H29" s="20"/>
      <c r="I29" s="20"/>
    </row>
    <row r="30" spans="1:9" ht="15" thickBot="1" x14ac:dyDescent="0.35">
      <c r="A30" s="50"/>
      <c r="B30" s="50"/>
      <c r="C30" s="50"/>
      <c r="D30" s="50"/>
      <c r="E30" s="20"/>
      <c r="F30" s="20"/>
      <c r="G30" s="20"/>
      <c r="H30" s="20"/>
      <c r="I30" s="20"/>
    </row>
    <row r="31" spans="1:9" ht="18.75" thickBot="1" x14ac:dyDescent="0.3">
      <c r="A31" s="43" t="s">
        <v>43</v>
      </c>
      <c r="B31" s="44">
        <v>3</v>
      </c>
      <c r="C31" s="45" t="s">
        <v>55</v>
      </c>
      <c r="D31" s="54">
        <f>$D$12+7</f>
        <v>44449</v>
      </c>
      <c r="E31" s="20"/>
      <c r="F31" s="20"/>
      <c r="G31" s="20"/>
      <c r="H31" s="20"/>
      <c r="I31" s="20"/>
    </row>
    <row r="32" spans="1:9" ht="27.75" thickBot="1" x14ac:dyDescent="0.3">
      <c r="A32" s="46" t="s">
        <v>44</v>
      </c>
      <c r="B32" s="47" t="s">
        <v>45</v>
      </c>
      <c r="C32" s="46" t="s">
        <v>46</v>
      </c>
      <c r="D32" s="46" t="s">
        <v>47</v>
      </c>
    </row>
    <row r="33" spans="1:4" x14ac:dyDescent="0.25">
      <c r="A33" s="5" t="s">
        <v>15</v>
      </c>
      <c r="B33" s="4">
        <v>2</v>
      </c>
      <c r="C33" s="113" t="s">
        <v>62</v>
      </c>
      <c r="D33" s="9"/>
    </row>
    <row r="34" spans="1:4" ht="27" x14ac:dyDescent="0.25">
      <c r="A34" s="1" t="s">
        <v>17</v>
      </c>
      <c r="B34" s="2">
        <v>1</v>
      </c>
      <c r="C34" s="114" t="s">
        <v>63</v>
      </c>
      <c r="D34" s="10"/>
    </row>
    <row r="35" spans="1:4" ht="40.5" x14ac:dyDescent="0.25">
      <c r="A35" s="1" t="s">
        <v>20</v>
      </c>
      <c r="B35" s="2">
        <v>3</v>
      </c>
      <c r="C35" s="114" t="s">
        <v>64</v>
      </c>
      <c r="D35" s="10"/>
    </row>
    <row r="36" spans="1:4" ht="27" x14ac:dyDescent="0.25">
      <c r="A36" s="1" t="s">
        <v>21</v>
      </c>
      <c r="B36" s="2">
        <v>5</v>
      </c>
      <c r="C36" s="114" t="s">
        <v>65</v>
      </c>
      <c r="D36" s="10"/>
    </row>
    <row r="37" spans="1:4" x14ac:dyDescent="0.25">
      <c r="A37" s="127" t="s">
        <v>25</v>
      </c>
      <c r="B37" s="2">
        <v>1</v>
      </c>
      <c r="C37" s="114" t="s">
        <v>66</v>
      </c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2"/>
      <c r="B42" s="2"/>
      <c r="C42" s="10"/>
      <c r="D42" s="10"/>
    </row>
    <row r="43" spans="1:4" x14ac:dyDescent="0.25">
      <c r="A43" s="2"/>
      <c r="B43" s="2"/>
      <c r="C43" s="10"/>
      <c r="D43" s="10"/>
    </row>
    <row r="44" spans="1:4" x14ac:dyDescent="0.25">
      <c r="A44" s="2"/>
      <c r="B44" s="2"/>
      <c r="C44" s="10"/>
      <c r="D44" s="10"/>
    </row>
    <row r="45" spans="1:4" x14ac:dyDescent="0.25">
      <c r="A45" s="51"/>
      <c r="B45" s="51"/>
      <c r="C45" s="52"/>
      <c r="D45" s="52"/>
    </row>
    <row r="46" spans="1:4" x14ac:dyDescent="0.25">
      <c r="A46" s="51"/>
      <c r="B46" s="51"/>
      <c r="C46" s="52"/>
      <c r="D46" s="52"/>
    </row>
    <row r="47" spans="1:4" ht="14.25" thickBot="1" x14ac:dyDescent="0.3">
      <c r="A47" s="3"/>
      <c r="B47" s="3"/>
      <c r="C47" s="11"/>
      <c r="D47" s="11"/>
    </row>
    <row r="48" spans="1:4" ht="14.25" thickBot="1" x14ac:dyDescent="0.3">
      <c r="A48" s="48" t="s">
        <v>48</v>
      </c>
      <c r="B48" s="48">
        <f>SUM(B33:B47)</f>
        <v>12</v>
      </c>
      <c r="C48" s="112" t="s">
        <v>53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43</v>
      </c>
      <c r="B50" s="44">
        <v>4</v>
      </c>
      <c r="C50" s="45" t="s">
        <v>55</v>
      </c>
      <c r="D50" s="54">
        <f>$D$31+7</f>
        <v>44456</v>
      </c>
    </row>
    <row r="51" spans="1:4" ht="27.75" thickBot="1" x14ac:dyDescent="0.3">
      <c r="A51" s="46" t="s">
        <v>44</v>
      </c>
      <c r="B51" s="47" t="s">
        <v>45</v>
      </c>
      <c r="C51" s="46" t="s">
        <v>46</v>
      </c>
      <c r="D51" s="46" t="s">
        <v>47</v>
      </c>
    </row>
    <row r="52" spans="1:4" x14ac:dyDescent="0.25">
      <c r="A52" s="5" t="s">
        <v>15</v>
      </c>
      <c r="B52" s="4">
        <v>12</v>
      </c>
      <c r="C52" s="9"/>
      <c r="D52" s="9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2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51"/>
      <c r="B64" s="51"/>
      <c r="C64" s="52"/>
      <c r="D64" s="52"/>
    </row>
    <row r="65" spans="1:4" x14ac:dyDescent="0.25">
      <c r="A65" s="51"/>
      <c r="B65" s="51"/>
      <c r="C65" s="52"/>
      <c r="D65" s="52"/>
    </row>
    <row r="66" spans="1:4" ht="14.25" thickBot="1" x14ac:dyDescent="0.3">
      <c r="A66" s="3"/>
      <c r="B66" s="3"/>
      <c r="C66" s="11"/>
      <c r="D66" s="11"/>
    </row>
    <row r="67" spans="1:4" ht="14.25" thickBot="1" x14ac:dyDescent="0.3">
      <c r="A67" s="48" t="s">
        <v>48</v>
      </c>
      <c r="B67" s="48">
        <f>SUM(B52:B66)</f>
        <v>12</v>
      </c>
      <c r="C67" s="112" t="s">
        <v>53</v>
      </c>
      <c r="D67" s="49"/>
    </row>
    <row r="68" spans="1:4" ht="15" thickBot="1" x14ac:dyDescent="0.35">
      <c r="A68" s="50"/>
      <c r="B68" s="50"/>
      <c r="C68" s="50"/>
      <c r="D68" s="50"/>
    </row>
    <row r="69" spans="1:4" ht="18.75" thickBot="1" x14ac:dyDescent="0.3">
      <c r="A69" s="43" t="s">
        <v>43</v>
      </c>
      <c r="B69" s="44">
        <v>5</v>
      </c>
      <c r="C69" s="45" t="s">
        <v>55</v>
      </c>
      <c r="D69" s="54">
        <f>$D$50+7</f>
        <v>44463</v>
      </c>
    </row>
    <row r="70" spans="1:4" ht="27.75" thickBot="1" x14ac:dyDescent="0.3">
      <c r="A70" s="46" t="s">
        <v>44</v>
      </c>
      <c r="B70" s="47" t="s">
        <v>45</v>
      </c>
      <c r="C70" s="46" t="s">
        <v>46</v>
      </c>
      <c r="D70" s="46" t="s">
        <v>47</v>
      </c>
    </row>
    <row r="71" spans="1:4" ht="27" x14ac:dyDescent="0.25">
      <c r="A71" s="5" t="s">
        <v>23</v>
      </c>
      <c r="B71" s="4">
        <v>11</v>
      </c>
      <c r="C71" s="113" t="s">
        <v>67</v>
      </c>
      <c r="D71" s="9"/>
    </row>
    <row r="72" spans="1:4" x14ac:dyDescent="0.25">
      <c r="A72" s="1" t="s">
        <v>25</v>
      </c>
      <c r="B72" s="2">
        <v>1</v>
      </c>
      <c r="C72" s="114" t="s">
        <v>66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1"/>
      <c r="B83" s="51"/>
      <c r="C83" s="52"/>
      <c r="D83" s="52"/>
    </row>
    <row r="84" spans="1:4" x14ac:dyDescent="0.25">
      <c r="A84" s="51"/>
      <c r="B84" s="51"/>
      <c r="C84" s="52"/>
      <c r="D84" s="52"/>
    </row>
    <row r="85" spans="1:4" ht="14.25" thickBot="1" x14ac:dyDescent="0.3">
      <c r="A85" s="3"/>
      <c r="B85" s="3"/>
      <c r="C85" s="11"/>
      <c r="D85" s="11"/>
    </row>
    <row r="86" spans="1:4" ht="14.25" thickBot="1" x14ac:dyDescent="0.3">
      <c r="A86" s="48" t="s">
        <v>48</v>
      </c>
      <c r="B86" s="48">
        <f>SUM(B71:B85)</f>
        <v>12</v>
      </c>
      <c r="C86" s="112" t="s">
        <v>53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43</v>
      </c>
      <c r="B88" s="44">
        <v>6</v>
      </c>
      <c r="C88" s="45" t="s">
        <v>55</v>
      </c>
      <c r="D88" s="54">
        <f>$D$69+7</f>
        <v>44470</v>
      </c>
    </row>
    <row r="89" spans="1:4" ht="27.75" thickBot="1" x14ac:dyDescent="0.3">
      <c r="A89" s="46" t="s">
        <v>44</v>
      </c>
      <c r="B89" s="47" t="s">
        <v>45</v>
      </c>
      <c r="C89" s="46" t="s">
        <v>46</v>
      </c>
      <c r="D89" s="46" t="s">
        <v>47</v>
      </c>
    </row>
    <row r="90" spans="1:4" x14ac:dyDescent="0.25">
      <c r="A90" s="5"/>
      <c r="B90" s="4"/>
      <c r="C90" s="9"/>
      <c r="D90" s="9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51"/>
      <c r="B102" s="51"/>
      <c r="C102" s="52"/>
      <c r="D102" s="52"/>
    </row>
    <row r="103" spans="1:4" x14ac:dyDescent="0.25">
      <c r="A103" s="51"/>
      <c r="B103" s="51"/>
      <c r="C103" s="52"/>
      <c r="D103" s="52"/>
    </row>
    <row r="104" spans="1:4" ht="14.25" thickBot="1" x14ac:dyDescent="0.3">
      <c r="A104" s="3"/>
      <c r="B104" s="3"/>
      <c r="C104" s="11"/>
      <c r="D104" s="11"/>
    </row>
    <row r="105" spans="1:4" ht="14.25" thickBot="1" x14ac:dyDescent="0.3">
      <c r="A105" s="48" t="s">
        <v>48</v>
      </c>
      <c r="B105" s="48">
        <f>SUM(B90:B104)</f>
        <v>0</v>
      </c>
      <c r="C105" s="112" t="s">
        <v>53</v>
      </c>
      <c r="D105" s="49"/>
    </row>
    <row r="106" spans="1:4" ht="15" thickBot="1" x14ac:dyDescent="0.35">
      <c r="A106" s="50"/>
      <c r="B106" s="50"/>
      <c r="C106" s="50"/>
      <c r="D106" s="50"/>
    </row>
    <row r="107" spans="1:4" ht="18.75" thickBot="1" x14ac:dyDescent="0.3">
      <c r="A107" s="43" t="s">
        <v>43</v>
      </c>
      <c r="B107" s="44">
        <v>7</v>
      </c>
      <c r="C107" s="45" t="s">
        <v>55</v>
      </c>
      <c r="D107" s="54">
        <f>$D$88+7</f>
        <v>44477</v>
      </c>
    </row>
    <row r="108" spans="1:4" ht="27.75" thickBot="1" x14ac:dyDescent="0.3">
      <c r="A108" s="46" t="s">
        <v>44</v>
      </c>
      <c r="B108" s="47" t="s">
        <v>45</v>
      </c>
      <c r="C108" s="46" t="s">
        <v>46</v>
      </c>
      <c r="D108" s="46" t="s">
        <v>47</v>
      </c>
    </row>
    <row r="109" spans="1:4" x14ac:dyDescent="0.25">
      <c r="A109" s="5"/>
      <c r="B109" s="4"/>
      <c r="C109" s="9"/>
      <c r="D109" s="9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2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51"/>
      <c r="B121" s="51"/>
      <c r="C121" s="52"/>
      <c r="D121" s="52"/>
    </row>
    <row r="122" spans="1:4" x14ac:dyDescent="0.25">
      <c r="A122" s="51"/>
      <c r="B122" s="51"/>
      <c r="C122" s="52"/>
      <c r="D122" s="52"/>
    </row>
    <row r="123" spans="1:4" ht="14.25" thickBot="1" x14ac:dyDescent="0.3">
      <c r="A123" s="3"/>
      <c r="B123" s="3"/>
      <c r="C123" s="11"/>
      <c r="D123" s="11"/>
    </row>
    <row r="124" spans="1:4" ht="14.25" thickBot="1" x14ac:dyDescent="0.3">
      <c r="A124" s="48" t="s">
        <v>48</v>
      </c>
      <c r="B124" s="48">
        <f>SUM(B109:B123)</f>
        <v>0</v>
      </c>
      <c r="C124" s="112" t="s">
        <v>53</v>
      </c>
      <c r="D124" s="49"/>
    </row>
    <row r="125" spans="1:4" ht="15" thickBot="1" x14ac:dyDescent="0.35">
      <c r="A125" s="50"/>
      <c r="B125" s="50"/>
      <c r="C125" s="50"/>
      <c r="D125" s="50"/>
    </row>
    <row r="126" spans="1:4" ht="18.75" thickBot="1" x14ac:dyDescent="0.3">
      <c r="A126" s="43" t="s">
        <v>43</v>
      </c>
      <c r="B126" s="44">
        <v>8</v>
      </c>
      <c r="C126" s="45" t="s">
        <v>55</v>
      </c>
      <c r="D126" s="54">
        <f>$D$107+7</f>
        <v>44484</v>
      </c>
    </row>
    <row r="127" spans="1:4" ht="27.75" thickBot="1" x14ac:dyDescent="0.3">
      <c r="A127" s="46" t="s">
        <v>44</v>
      </c>
      <c r="B127" s="47" t="s">
        <v>45</v>
      </c>
      <c r="C127" s="46" t="s">
        <v>46</v>
      </c>
      <c r="D127" s="46" t="s">
        <v>47</v>
      </c>
    </row>
    <row r="128" spans="1:4" x14ac:dyDescent="0.25">
      <c r="A128" s="5"/>
      <c r="B128" s="4"/>
      <c r="C128" s="9"/>
      <c r="D128" s="9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51"/>
      <c r="B140" s="51"/>
      <c r="C140" s="52"/>
      <c r="D140" s="52"/>
    </row>
    <row r="141" spans="1:4" x14ac:dyDescent="0.25">
      <c r="A141" s="51"/>
      <c r="B141" s="51"/>
      <c r="C141" s="52"/>
      <c r="D141" s="52"/>
    </row>
    <row r="142" spans="1:4" ht="14.25" thickBot="1" x14ac:dyDescent="0.3">
      <c r="A142" s="3"/>
      <c r="B142" s="3"/>
      <c r="C142" s="11"/>
      <c r="D142" s="11"/>
    </row>
    <row r="143" spans="1:4" ht="14.25" thickBot="1" x14ac:dyDescent="0.3">
      <c r="A143" s="48" t="s">
        <v>48</v>
      </c>
      <c r="B143" s="48">
        <f>SUM(B128:B142)</f>
        <v>0</v>
      </c>
      <c r="C143" s="112" t="s">
        <v>53</v>
      </c>
      <c r="D143" s="49"/>
    </row>
    <row r="144" spans="1:4" ht="15" thickBot="1" x14ac:dyDescent="0.35">
      <c r="A144" s="50"/>
      <c r="B144" s="50"/>
      <c r="C144" s="50"/>
      <c r="D144" s="50"/>
    </row>
    <row r="145" spans="1:4" ht="18.75" thickBot="1" x14ac:dyDescent="0.3">
      <c r="A145" s="43" t="s">
        <v>43</v>
      </c>
      <c r="B145" s="44">
        <v>9</v>
      </c>
      <c r="C145" s="45" t="s">
        <v>55</v>
      </c>
      <c r="D145" s="54">
        <f>$D$126+7</f>
        <v>44491</v>
      </c>
    </row>
    <row r="146" spans="1:4" ht="27.75" thickBot="1" x14ac:dyDescent="0.3">
      <c r="A146" s="46" t="s">
        <v>44</v>
      </c>
      <c r="B146" s="47" t="s">
        <v>45</v>
      </c>
      <c r="C146" s="46" t="s">
        <v>46</v>
      </c>
      <c r="D146" s="46" t="s">
        <v>47</v>
      </c>
    </row>
    <row r="147" spans="1:4" x14ac:dyDescent="0.25">
      <c r="A147" s="5"/>
      <c r="B147" s="4"/>
      <c r="C147" s="9"/>
      <c r="D147" s="9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2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51"/>
      <c r="B159" s="51"/>
      <c r="C159" s="52"/>
      <c r="D159" s="52"/>
    </row>
    <row r="160" spans="1:4" x14ac:dyDescent="0.25">
      <c r="A160" s="51"/>
      <c r="B160" s="51"/>
      <c r="C160" s="52"/>
      <c r="D160" s="52"/>
    </row>
    <row r="161" spans="1:4" ht="14.25" thickBot="1" x14ac:dyDescent="0.3">
      <c r="A161" s="3"/>
      <c r="B161" s="3"/>
      <c r="C161" s="11"/>
      <c r="D161" s="11"/>
    </row>
    <row r="162" spans="1:4" ht="14.25" thickBot="1" x14ac:dyDescent="0.3">
      <c r="A162" s="48" t="s">
        <v>48</v>
      </c>
      <c r="B162" s="48">
        <f>SUM(B147:B161)</f>
        <v>0</v>
      </c>
      <c r="C162" s="112" t="s">
        <v>53</v>
      </c>
      <c r="D162" s="49"/>
    </row>
    <row r="163" spans="1:4" ht="15" thickBot="1" x14ac:dyDescent="0.35">
      <c r="A163" s="50"/>
      <c r="B163" s="50"/>
      <c r="C163" s="50"/>
      <c r="D163" s="50"/>
    </row>
    <row r="164" spans="1:4" ht="18.75" thickBot="1" x14ac:dyDescent="0.3">
      <c r="A164" s="43" t="s">
        <v>43</v>
      </c>
      <c r="B164" s="44">
        <v>10</v>
      </c>
      <c r="C164" s="45" t="s">
        <v>55</v>
      </c>
      <c r="D164" s="54">
        <f>$D$145+7</f>
        <v>44498</v>
      </c>
    </row>
    <row r="165" spans="1:4" ht="27.75" thickBot="1" x14ac:dyDescent="0.3">
      <c r="A165" s="46" t="s">
        <v>44</v>
      </c>
      <c r="B165" s="47" t="s">
        <v>45</v>
      </c>
      <c r="C165" s="46" t="s">
        <v>46</v>
      </c>
      <c r="D165" s="46" t="s">
        <v>47</v>
      </c>
    </row>
    <row r="166" spans="1:4" x14ac:dyDescent="0.25">
      <c r="A166" s="5"/>
      <c r="B166" s="4"/>
      <c r="C166" s="9"/>
      <c r="D166" s="9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2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51"/>
      <c r="B178" s="51"/>
      <c r="C178" s="52"/>
      <c r="D178" s="52"/>
    </row>
    <row r="179" spans="1:4" x14ac:dyDescent="0.25">
      <c r="A179" s="51"/>
      <c r="B179" s="51"/>
      <c r="C179" s="52"/>
      <c r="D179" s="52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48" t="s">
        <v>48</v>
      </c>
      <c r="B181" s="48">
        <f>SUM(B166:B180)</f>
        <v>0</v>
      </c>
      <c r="C181" s="112" t="s">
        <v>53</v>
      </c>
      <c r="D181" s="49"/>
    </row>
    <row r="182" spans="1:4" ht="15" thickBot="1" x14ac:dyDescent="0.35">
      <c r="A182" s="50"/>
      <c r="B182" s="50"/>
      <c r="C182" s="50"/>
      <c r="D182" s="50"/>
    </row>
    <row r="183" spans="1:4" ht="18.75" thickBot="1" x14ac:dyDescent="0.3">
      <c r="A183" s="43" t="s">
        <v>43</v>
      </c>
      <c r="B183" s="44">
        <v>11</v>
      </c>
      <c r="C183" s="45" t="s">
        <v>55</v>
      </c>
      <c r="D183" s="54">
        <f>$D$164+7</f>
        <v>44505</v>
      </c>
    </row>
    <row r="184" spans="1:4" ht="27.75" thickBot="1" x14ac:dyDescent="0.3">
      <c r="A184" s="46" t="s">
        <v>44</v>
      </c>
      <c r="B184" s="47" t="s">
        <v>45</v>
      </c>
      <c r="C184" s="46" t="s">
        <v>46</v>
      </c>
      <c r="D184" s="46" t="s">
        <v>47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2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51"/>
      <c r="B197" s="51"/>
      <c r="C197" s="52"/>
      <c r="D197" s="52"/>
    </row>
    <row r="198" spans="1:4" x14ac:dyDescent="0.25">
      <c r="A198" s="51"/>
      <c r="B198" s="51"/>
      <c r="C198" s="52"/>
      <c r="D198" s="52"/>
    </row>
    <row r="199" spans="1:4" ht="14.25" thickBot="1" x14ac:dyDescent="0.3">
      <c r="A199" s="3"/>
      <c r="B199" s="3"/>
      <c r="C199" s="11"/>
      <c r="D199" s="11"/>
    </row>
    <row r="200" spans="1:4" ht="14.25" thickBot="1" x14ac:dyDescent="0.3">
      <c r="A200" s="48" t="s">
        <v>48</v>
      </c>
      <c r="B200" s="48">
        <f>SUM(B185:B199)</f>
        <v>0</v>
      </c>
      <c r="C200" s="112" t="s">
        <v>53</v>
      </c>
      <c r="D200" s="49"/>
    </row>
    <row r="201" spans="1:4" ht="15" thickBot="1" x14ac:dyDescent="0.35">
      <c r="A201" s="50"/>
      <c r="B201" s="50"/>
      <c r="C201" s="50"/>
      <c r="D201" s="50"/>
    </row>
    <row r="202" spans="1:4" ht="18.75" thickBot="1" x14ac:dyDescent="0.3">
      <c r="A202" s="43" t="s">
        <v>43</v>
      </c>
      <c r="B202" s="44">
        <v>12</v>
      </c>
      <c r="C202" s="45" t="s">
        <v>55</v>
      </c>
      <c r="D202" s="54">
        <f>$D$183+7</f>
        <v>44512</v>
      </c>
    </row>
    <row r="203" spans="1:4" ht="27.75" thickBot="1" x14ac:dyDescent="0.3">
      <c r="A203" s="46" t="s">
        <v>44</v>
      </c>
      <c r="B203" s="47" t="s">
        <v>45</v>
      </c>
      <c r="C203" s="46" t="s">
        <v>46</v>
      </c>
      <c r="D203" s="46" t="s">
        <v>47</v>
      </c>
    </row>
    <row r="204" spans="1:4" x14ac:dyDescent="0.25">
      <c r="A204" s="5"/>
      <c r="B204" s="4"/>
      <c r="C204" s="9"/>
      <c r="D204" s="9"/>
    </row>
    <row r="205" spans="1:4" x14ac:dyDescent="0.25">
      <c r="A205" s="1"/>
      <c r="B205" s="2"/>
      <c r="C205" s="10"/>
      <c r="D205" s="10"/>
    </row>
    <row r="206" spans="1:4" x14ac:dyDescent="0.25">
      <c r="A206" s="1"/>
      <c r="B206" s="2"/>
      <c r="C206" s="10"/>
      <c r="D206" s="10"/>
    </row>
    <row r="207" spans="1:4" x14ac:dyDescent="0.25">
      <c r="A207" s="1"/>
      <c r="B207" s="2"/>
      <c r="C207" s="10"/>
      <c r="D207" s="10"/>
    </row>
    <row r="208" spans="1:4" x14ac:dyDescent="0.25">
      <c r="A208" s="1"/>
      <c r="B208" s="2"/>
      <c r="C208" s="10"/>
      <c r="D208" s="10"/>
    </row>
    <row r="209" spans="1:4" x14ac:dyDescent="0.25">
      <c r="A209" s="1"/>
      <c r="B209" s="2"/>
      <c r="C209" s="10"/>
      <c r="D209" s="10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2"/>
      <c r="B213" s="2"/>
      <c r="C213" s="10"/>
      <c r="D213" s="10"/>
    </row>
    <row r="214" spans="1:4" x14ac:dyDescent="0.25">
      <c r="A214" s="2"/>
      <c r="B214" s="2"/>
      <c r="C214" s="10"/>
      <c r="D214" s="10"/>
    </row>
    <row r="215" spans="1:4" x14ac:dyDescent="0.25">
      <c r="A215" s="2"/>
      <c r="B215" s="2"/>
      <c r="C215" s="10"/>
      <c r="D215" s="10"/>
    </row>
    <row r="216" spans="1:4" x14ac:dyDescent="0.25">
      <c r="A216" s="51"/>
      <c r="B216" s="51"/>
      <c r="C216" s="52"/>
      <c r="D216" s="52"/>
    </row>
    <row r="217" spans="1:4" x14ac:dyDescent="0.25">
      <c r="A217" s="51"/>
      <c r="B217" s="51"/>
      <c r="C217" s="52"/>
      <c r="D217" s="52"/>
    </row>
    <row r="218" spans="1:4" ht="14.25" thickBot="1" x14ac:dyDescent="0.3">
      <c r="A218" s="3"/>
      <c r="B218" s="3"/>
      <c r="C218" s="11"/>
      <c r="D218" s="11"/>
    </row>
    <row r="219" spans="1:4" ht="14.25" thickBot="1" x14ac:dyDescent="0.3">
      <c r="A219" s="48" t="s">
        <v>48</v>
      </c>
      <c r="B219" s="48">
        <f>SUM(B204:B218)</f>
        <v>0</v>
      </c>
      <c r="C219" s="112" t="s">
        <v>53</v>
      </c>
      <c r="D219" s="49"/>
    </row>
    <row r="220" spans="1:4" ht="15" thickBot="1" x14ac:dyDescent="0.35">
      <c r="A220" s="50"/>
      <c r="B220" s="50"/>
      <c r="C220" s="50"/>
      <c r="D220" s="50"/>
    </row>
    <row r="221" spans="1:4" ht="18.75" thickBot="1" x14ac:dyDescent="0.3">
      <c r="A221" s="43" t="s">
        <v>43</v>
      </c>
      <c r="B221" s="44">
        <v>13</v>
      </c>
      <c r="C221" s="45" t="s">
        <v>55</v>
      </c>
      <c r="D221" s="54">
        <f>$D$202+7</f>
        <v>44519</v>
      </c>
    </row>
    <row r="222" spans="1:4" ht="27.75" thickBot="1" x14ac:dyDescent="0.3">
      <c r="A222" s="46" t="s">
        <v>44</v>
      </c>
      <c r="B222" s="47" t="s">
        <v>45</v>
      </c>
      <c r="C222" s="46" t="s">
        <v>46</v>
      </c>
      <c r="D222" s="46" t="s">
        <v>47</v>
      </c>
    </row>
    <row r="223" spans="1:4" x14ac:dyDescent="0.25">
      <c r="A223" s="5"/>
      <c r="B223" s="4"/>
      <c r="C223" s="9"/>
      <c r="D223" s="9"/>
    </row>
    <row r="224" spans="1:4" x14ac:dyDescent="0.25">
      <c r="A224" s="1"/>
      <c r="B224" s="2"/>
      <c r="C224" s="10"/>
      <c r="D224" s="10"/>
    </row>
    <row r="225" spans="1:4" x14ac:dyDescent="0.25">
      <c r="A225" s="1"/>
      <c r="B225" s="2"/>
      <c r="C225" s="10"/>
      <c r="D225" s="10"/>
    </row>
    <row r="226" spans="1:4" x14ac:dyDescent="0.25">
      <c r="A226" s="1"/>
      <c r="B226" s="2"/>
      <c r="C226" s="10"/>
      <c r="D226" s="10"/>
    </row>
    <row r="227" spans="1:4" x14ac:dyDescent="0.25">
      <c r="A227" s="1"/>
      <c r="B227" s="2"/>
      <c r="C227" s="10"/>
      <c r="D227" s="10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2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51"/>
      <c r="B235" s="51"/>
      <c r="C235" s="52"/>
      <c r="D235" s="52"/>
    </row>
    <row r="236" spans="1:4" x14ac:dyDescent="0.25">
      <c r="A236" s="51"/>
      <c r="B236" s="51"/>
      <c r="C236" s="52"/>
      <c r="D236" s="52"/>
    </row>
    <row r="237" spans="1:4" ht="14.25" thickBot="1" x14ac:dyDescent="0.3">
      <c r="A237" s="3"/>
      <c r="B237" s="3"/>
      <c r="C237" s="11"/>
      <c r="D237" s="11"/>
    </row>
    <row r="238" spans="1:4" ht="14.25" thickBot="1" x14ac:dyDescent="0.3">
      <c r="A238" s="48" t="s">
        <v>48</v>
      </c>
      <c r="B238" s="48">
        <f>SUM(B223:B237)</f>
        <v>0</v>
      </c>
      <c r="C238" s="112" t="s">
        <v>53</v>
      </c>
      <c r="D238" s="49"/>
    </row>
    <row r="239" spans="1:4" ht="14.25" x14ac:dyDescent="0.3">
      <c r="A239" s="50"/>
      <c r="B239" s="50"/>
      <c r="C239" s="50"/>
      <c r="D239" s="50"/>
    </row>
    <row r="240" spans="1:4" x14ac:dyDescent="0.25">
      <c r="A240" s="89" t="s">
        <v>54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9:F26 B3:B9 B14:B28 B33:B47 B52:B66 B71:B85 B90:B104 B109:B123 B128:B142 B147:B161 B166:B180 B185:B199 B204:B218 B223:B23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9 B48 B67 B86 B105 B124 B143 B162 B181 B200 B219 B238">
      <formula1>0</formula1>
      <formula2>NbPerWeek * NbQuartPer</formula2>
    </dataValidation>
    <dataValidation type="list" allowBlank="1" showInputMessage="1" showErrorMessage="1" sqref="A3:A9 A14:A28 A33:A47 A52:A66 A71:A85 A90:A104 A109:A123 A128:A142 A147:A161 A166:A180 A185:A199 A204:A218 A223:A237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Stefan Petrovic</cp:lastModifiedBy>
  <cp:revision/>
  <dcterms:created xsi:type="dcterms:W3CDTF">1996-10-21T11:03:58Z</dcterms:created>
  <dcterms:modified xsi:type="dcterms:W3CDTF">2021-09-24T13:45:01Z</dcterms:modified>
  <cp:category/>
  <cp:contentStatus/>
</cp:coreProperties>
</file>