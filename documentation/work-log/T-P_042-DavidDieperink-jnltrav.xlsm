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CFC\2ème année\Projets\P-042_GesProj2\etml-p042-gesproj2\documentation\work-log\"/>
    </mc:Choice>
  </mc:AlternateContent>
  <xr:revisionPtr revIDLastSave="0" documentId="13_ncr:1_{0667BF52-8E02-4226-B5C1-E6D67DAEF26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63" l="1"/>
  <c r="D12" i="163" s="1"/>
  <c r="D23" i="163" s="1"/>
  <c r="D35" i="163" s="1"/>
  <c r="D46" i="163" s="1"/>
  <c r="D58" i="163" s="1"/>
  <c r="D68" i="163" s="1"/>
  <c r="D78" i="163" s="1"/>
  <c r="B155" i="163"/>
  <c r="B136" i="163"/>
  <c r="B117" i="163"/>
  <c r="B106" i="163"/>
  <c r="B96" i="163"/>
  <c r="B86" i="163"/>
  <c r="B76" i="163"/>
  <c r="B66" i="163"/>
  <c r="B56" i="163"/>
  <c r="B44" i="163"/>
  <c r="B33" i="163"/>
  <c r="B21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D88" i="163" l="1"/>
  <c r="D98" i="163" s="1"/>
  <c r="D108" i="163" s="1"/>
  <c r="D119" i="163" s="1"/>
  <c r="D138" i="163" s="1"/>
  <c r="B18" i="154"/>
  <c r="B13" i="11" l="1"/>
</calcChain>
</file>

<file path=xl/sharedStrings.xml><?xml version="1.0" encoding="utf-8"?>
<sst xmlns="http://schemas.openxmlformats.org/spreadsheetml/2006/main" count="425" uniqueCount="90">
  <si>
    <t>Module :</t>
  </si>
  <si>
    <t>P_GesProj2</t>
  </si>
  <si>
    <t>Prénom - nom :</t>
  </si>
  <si>
    <t>David Dieperink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</si>
  <si>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</si>
  <si>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</si>
  <si>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</si>
  <si>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</si>
  <si>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</si>
  <si>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</si>
  <si>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</si>
  <si>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</si>
  <si>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</si>
  <si>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</si>
  <si>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</si>
  <si>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</si>
  <si>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</si>
  <si>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</si>
  <si>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</si>
  <si>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</si>
  <si>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</si>
  <si>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</si>
  <si>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</si>
  <si>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</si>
  <si>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</si>
  <si>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</si>
  <si>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</si>
  <si>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</si>
  <si>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</si>
  <si>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</si>
  <si>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</si>
  <si>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</si>
  <si>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</si>
  <si>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</si>
  <si>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</si>
  <si>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</si>
  <si>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</si>
  <si>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</si>
  <si>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</si>
  <si>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</si>
  <si>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</si>
  <si>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</si>
  <si>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</si>
  <si>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</si>
  <si>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</si>
  <si>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</si>
  <si>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</si>
  <si>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</si>
  <si>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</si>
  <si>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</si>
  <si>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</si>
  <si>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</si>
  <si>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</si>
  <si>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</si>
  <si>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</si>
  <si>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Création des différentes feuilles dans excel -&gt; (les différentes tables nécessaire)</t>
  </si>
  <si>
    <t>Génération des données grace a un site</t>
  </si>
  <si>
    <t>generatedata</t>
  </si>
  <si>
    <t>Modélisation de la base de données -&gt; MCD + MLD + Script SQL pour le MPD</t>
  </si>
  <si>
    <t>Remplissage du journal de travail</t>
  </si>
  <si>
    <t>Réunion et explication des tâches effectuée au prof</t>
  </si>
  <si>
    <t>Répartition des tâches ( qui fait quoi )</t>
  </si>
  <si>
    <t>Réglage des différents soucis dans le script sql de la db</t>
  </si>
  <si>
    <t>Importation des données dans toutes les tables de la db</t>
  </si>
  <si>
    <t>Finition des requêtes SQL avec Alexis</t>
  </si>
  <si>
    <t>Implémentation des requêtes SQL dans le php pour les afficher sur le site web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</si>
  <si>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</si>
  <si>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</si>
  <si>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</si>
  <si>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</si>
  <si>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</si>
  <si>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</si>
  <si>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</si>
  <si>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Création d'une Vue en SQL pour afficher le prix total des commandes en champ calculé</t>
  </si>
  <si>
    <t>Documentation et recherche sur SQL</t>
  </si>
  <si>
    <t>Check du site web avec Stefan et Alexis</t>
  </si>
  <si>
    <t xml:space="preserve">Travail sur un autre projet (projet réseau -&gt; documentation -&gt; rapport) </t>
  </si>
  <si>
    <t>Autorisation du prof</t>
  </si>
  <si>
    <t>Check des requêtes SQL à ajouter sur le site web</t>
  </si>
  <si>
    <t>Implémentation des requetes SQL dans le site [Analyse de l'ordre des conditions pour les filtres et les tris]</t>
  </si>
  <si>
    <t>Modification du CSS</t>
  </si>
  <si>
    <t>Continuation de l'implementation des requetes SQL [Selection de differentes marques et OS avec des cases à cocher REUSSIE]</t>
  </si>
  <si>
    <t>Retouche du CSS léger bug entre les pages</t>
  </si>
  <si>
    <t>Finalisation implémentation des requetes SQL sous forme de filtres et de tris dans le site web</t>
  </si>
  <si>
    <t>Modification du style de la page "Telephones" style personalissé des boutons de radio et des cases à cocher</t>
  </si>
  <si>
    <t>Implémentation des requêtes clients sur le site web</t>
  </si>
  <si>
    <t>Style CSS du site -&gt; Modification du style des checkbox / bouton radio / liste déroulante (style unifié -&gt; même thème de couleur)</t>
  </si>
  <si>
    <t>Style CSS -&gt; modification des couleurs dans le CSS (création de variable qui contiennent les couleurs)</t>
  </si>
  <si>
    <t>Ajout d'une fonction de darkmode sur le site web -&gt; design en CSS</t>
  </si>
  <si>
    <t>Création d'est fichier JS pour la fonction darkmode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</si>
</sst>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1" fillId="0" borderId="2" xfId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vertical="center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generatedata.com/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="85" zoomScaleNormal="100" zoomScaleSheetLayoutView="85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 x14ac:dyDescent="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 x14ac:dyDescent="0.3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9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13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9" t="s">
        <v>14</v>
      </c>
      <c r="C19" s="130"/>
      <c r="D19" s="60"/>
      <c r="E19" s="60"/>
      <c r="F19" s="60"/>
      <c r="G19" s="61"/>
    </row>
    <row r="20" spans="1:13" ht="20.25" x14ac:dyDescent="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FC26"/>
  <sheetViews>
    <sheetView tabSelected="1"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 x14ac:dyDescent="0.3">
      <c r="B1" s="91"/>
      <c r="C1" s="91"/>
    </row>
    <row r="2" spans="1:159" ht="42.75" customHeight="1" thickBot="1" x14ac:dyDescent="0.3">
      <c r="A2" s="92"/>
      <c r="B2" s="23" t="s">
        <v>27</v>
      </c>
      <c r="C2" s="15" t="s">
        <v>28</v>
      </c>
      <c r="D2" s="133" t="s">
        <v>29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5"/>
      <c r="P2" s="133" t="s">
        <v>30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5"/>
      <c r="AB2" s="133" t="s">
        <v>31</v>
      </c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5"/>
      <c r="AN2" s="133" t="s">
        <v>32</v>
      </c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5"/>
      <c r="AZ2" s="133" t="s">
        <v>33</v>
      </c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5"/>
      <c r="BL2" s="133" t="s">
        <v>34</v>
      </c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5"/>
      <c r="BX2" s="133" t="s">
        <v>35</v>
      </c>
      <c r="BY2" s="134"/>
      <c r="BZ2" s="134"/>
      <c r="CA2" s="134"/>
      <c r="CB2" s="134"/>
      <c r="CC2" s="134"/>
      <c r="CD2" s="134"/>
      <c r="CE2" s="134"/>
      <c r="CF2" s="134"/>
      <c r="CG2" s="134"/>
      <c r="CH2" s="134"/>
      <c r="CI2" s="135"/>
      <c r="CJ2" s="133" t="s">
        <v>36</v>
      </c>
      <c r="CK2" s="134"/>
      <c r="CL2" s="134"/>
      <c r="CM2" s="134"/>
      <c r="CN2" s="134"/>
      <c r="CO2" s="134"/>
      <c r="CP2" s="134"/>
      <c r="CQ2" s="134"/>
      <c r="CR2" s="134"/>
      <c r="CS2" s="134"/>
      <c r="CT2" s="134"/>
      <c r="CU2" s="135"/>
      <c r="CV2" s="133" t="s">
        <v>37</v>
      </c>
      <c r="CW2" s="134"/>
      <c r="CX2" s="134"/>
      <c r="CY2" s="134"/>
      <c r="CZ2" s="134"/>
      <c r="DA2" s="134"/>
      <c r="DB2" s="134"/>
      <c r="DC2" s="134"/>
      <c r="DD2" s="134"/>
      <c r="DE2" s="134"/>
      <c r="DF2" s="134"/>
      <c r="DG2" s="135"/>
      <c r="DH2" s="133" t="s">
        <v>38</v>
      </c>
      <c r="DI2" s="134"/>
      <c r="DJ2" s="134"/>
      <c r="DK2" s="134"/>
      <c r="DL2" s="134"/>
      <c r="DM2" s="134"/>
      <c r="DN2" s="134"/>
      <c r="DO2" s="134"/>
      <c r="DP2" s="134"/>
      <c r="DQ2" s="134"/>
      <c r="DR2" s="134"/>
      <c r="DS2" s="135"/>
      <c r="DT2" s="133" t="s">
        <v>39</v>
      </c>
      <c r="DU2" s="134"/>
      <c r="DV2" s="134"/>
      <c r="DW2" s="134"/>
      <c r="DX2" s="134"/>
      <c r="DY2" s="134"/>
      <c r="DZ2" s="134"/>
      <c r="EA2" s="134"/>
      <c r="EB2" s="134"/>
      <c r="EC2" s="134"/>
      <c r="ED2" s="134"/>
      <c r="EE2" s="135"/>
      <c r="EF2" s="133" t="s">
        <v>40</v>
      </c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5"/>
      <c r="ER2" s="133" t="s">
        <v>41</v>
      </c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5"/>
    </row>
    <row r="3" spans="1:159" ht="19.5" customHeight="1" x14ac:dyDescent="0.25">
      <c r="A3" s="92"/>
      <c r="B3" s="136" t="s">
        <v>16</v>
      </c>
      <c r="C3" s="16">
        <v>13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119"/>
      <c r="AC3" s="120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119"/>
      <c r="BA3" s="120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119"/>
      <c r="BM3" s="120"/>
      <c r="BN3" s="121"/>
      <c r="BO3" s="122"/>
      <c r="BP3" s="120"/>
      <c r="BQ3" s="121"/>
      <c r="BR3" s="122"/>
      <c r="BS3" s="120"/>
      <c r="BT3" s="121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 x14ac:dyDescent="0.3">
      <c r="A4" s="92"/>
      <c r="B4" s="137"/>
      <c r="C4" s="22">
        <v>13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124"/>
      <c r="AC4" s="125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124"/>
      <c r="BA4" s="125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124"/>
      <c r="BM4" s="125"/>
      <c r="BN4" s="126"/>
      <c r="BO4" s="127"/>
      <c r="BP4" s="125"/>
      <c r="BQ4" s="126"/>
      <c r="BR4" s="127"/>
      <c r="BS4" s="125"/>
      <c r="BT4" s="126"/>
      <c r="BU4" s="101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 x14ac:dyDescent="0.25">
      <c r="B5" s="138" t="str">
        <f>Donnees!$C$21</f>
        <v>Lecture du CDC</v>
      </c>
      <c r="C5" s="103">
        <v>3</v>
      </c>
      <c r="D5" s="119"/>
      <c r="E5" s="120"/>
      <c r="F5" s="121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 x14ac:dyDescent="0.3">
      <c r="B6" s="132"/>
      <c r="C6" s="104">
        <v>3</v>
      </c>
      <c r="D6" s="124"/>
      <c r="E6" s="125"/>
      <c r="F6" s="126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 x14ac:dyDescent="0.25">
      <c r="B7" s="131" t="str">
        <f>Donnees!$C$22</f>
        <v>Répartition des tâches</v>
      </c>
      <c r="C7" s="103">
        <v>5</v>
      </c>
      <c r="D7" s="93"/>
      <c r="E7" s="94"/>
      <c r="F7" s="95"/>
      <c r="G7" s="122"/>
      <c r="H7" s="120"/>
      <c r="I7" s="121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121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121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 x14ac:dyDescent="0.3">
      <c r="B8" s="132"/>
      <c r="C8" s="104">
        <v>4</v>
      </c>
      <c r="D8" s="98"/>
      <c r="E8" s="99"/>
      <c r="F8" s="100"/>
      <c r="G8" s="127"/>
      <c r="H8" s="125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26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26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 x14ac:dyDescent="0.25">
      <c r="B9" s="131" t="str">
        <f>Donnees!$C$23</f>
        <v>Collecte de données</v>
      </c>
      <c r="C9" s="103">
        <v>8</v>
      </c>
      <c r="D9" s="93"/>
      <c r="E9" s="94"/>
      <c r="F9" s="95"/>
      <c r="G9" s="96"/>
      <c r="H9" s="94"/>
      <c r="I9" s="95"/>
      <c r="J9" s="122"/>
      <c r="K9" s="120"/>
      <c r="L9" s="121"/>
      <c r="M9" s="122"/>
      <c r="N9" s="120"/>
      <c r="O9" s="97"/>
      <c r="P9" s="119"/>
      <c r="Q9" s="120"/>
      <c r="R9" s="121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 x14ac:dyDescent="0.3">
      <c r="B10" s="132"/>
      <c r="C10" s="104">
        <v>8</v>
      </c>
      <c r="D10" s="98"/>
      <c r="E10" s="99"/>
      <c r="F10" s="100"/>
      <c r="G10" s="101"/>
      <c r="H10" s="99"/>
      <c r="I10" s="126"/>
      <c r="J10" s="127"/>
      <c r="K10" s="125"/>
      <c r="L10" s="126"/>
      <c r="M10" s="127"/>
      <c r="N10" s="99"/>
      <c r="O10" s="102"/>
      <c r="P10" s="124"/>
      <c r="Q10" s="125"/>
      <c r="R10" s="126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 x14ac:dyDescent="0.25">
      <c r="B11" s="131" t="str">
        <f>Donnees!$C$24</f>
        <v>Documentation</v>
      </c>
      <c r="C11" s="103">
        <v>6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122"/>
      <c r="BD11" s="120"/>
      <c r="BE11" s="121"/>
      <c r="BF11" s="122"/>
      <c r="BG11" s="120"/>
      <c r="BH11" s="121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 x14ac:dyDescent="0.3">
      <c r="B12" s="132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27"/>
      <c r="BD12" s="125"/>
      <c r="BE12" s="126"/>
      <c r="BF12" s="127"/>
      <c r="BG12" s="125"/>
      <c r="BH12" s="126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 x14ac:dyDescent="0.25">
      <c r="B13" s="131" t="str">
        <f>Donnees!$C$25</f>
        <v>Modélisation de la base de données (MCD, MLD, MPD)</v>
      </c>
      <c r="C13" s="103">
        <v>9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121"/>
      <c r="V13" s="122"/>
      <c r="W13" s="120"/>
      <c r="X13" s="121"/>
      <c r="Y13" s="122"/>
      <c r="Z13" s="120"/>
      <c r="AA13" s="97"/>
      <c r="AB13" s="93"/>
      <c r="AC13" s="94"/>
      <c r="AD13" s="95"/>
      <c r="AE13" s="122"/>
      <c r="AF13" s="120"/>
      <c r="AG13" s="121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 x14ac:dyDescent="0.3">
      <c r="B14" s="132"/>
      <c r="C14" s="104">
        <v>9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26"/>
      <c r="V14" s="127"/>
      <c r="W14" s="125"/>
      <c r="X14" s="126"/>
      <c r="Y14" s="127"/>
      <c r="Z14" s="125"/>
      <c r="AA14" s="102"/>
      <c r="AB14" s="98"/>
      <c r="AC14" s="99"/>
      <c r="AD14" s="100"/>
      <c r="AE14" s="127"/>
      <c r="AF14" s="125"/>
      <c r="AG14" s="126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 x14ac:dyDescent="0.25">
      <c r="B15" s="131" t="str">
        <f>Donnees!$C$26</f>
        <v>Importation des données</v>
      </c>
      <c r="C15" s="103">
        <v>7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122"/>
      <c r="T15" s="120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122"/>
      <c r="AI15" s="120"/>
      <c r="AJ15" s="121"/>
      <c r="AK15" s="122"/>
      <c r="AL15" s="120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 x14ac:dyDescent="0.3">
      <c r="A16" s="105"/>
      <c r="B16" s="132"/>
      <c r="C16" s="104">
        <v>7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27"/>
      <c r="T16" s="125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27"/>
      <c r="AI16" s="125"/>
      <c r="AJ16" s="126"/>
      <c r="AK16" s="127"/>
      <c r="AL16" s="125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 x14ac:dyDescent="0.25">
      <c r="B17" s="131" t="str">
        <f>Donnees!$C$27</f>
        <v>Requêtes SQL</v>
      </c>
      <c r="C17" s="103">
        <v>37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119"/>
      <c r="AO17" s="120"/>
      <c r="AP17" s="121"/>
      <c r="AQ17" s="122"/>
      <c r="AR17" s="120"/>
      <c r="AS17" s="121"/>
      <c r="AT17" s="122"/>
      <c r="AU17" s="120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122"/>
      <c r="BV17" s="120"/>
      <c r="BW17" s="97"/>
      <c r="BX17" s="119"/>
      <c r="BY17" s="120"/>
      <c r="BZ17" s="121"/>
      <c r="CA17" s="122"/>
      <c r="CB17" s="120"/>
      <c r="CC17" s="121"/>
      <c r="CD17" s="122"/>
      <c r="CE17" s="120"/>
      <c r="CF17" s="95"/>
      <c r="CG17" s="96"/>
      <c r="CH17" s="94"/>
      <c r="CI17" s="97"/>
      <c r="CJ17" s="119"/>
      <c r="CK17" s="120"/>
      <c r="CL17" s="121"/>
      <c r="CM17" s="122"/>
      <c r="CN17" s="120"/>
      <c r="CO17" s="121"/>
      <c r="CP17" s="122"/>
      <c r="CQ17" s="120"/>
      <c r="CR17" s="95"/>
      <c r="CS17" s="96"/>
      <c r="CT17" s="94"/>
      <c r="CU17" s="97"/>
      <c r="CV17" s="119"/>
      <c r="CW17" s="120"/>
      <c r="CX17" s="121"/>
      <c r="CY17" s="122"/>
      <c r="CZ17" s="120"/>
      <c r="DA17" s="121"/>
      <c r="DB17" s="122"/>
      <c r="DC17" s="94"/>
      <c r="DD17" s="95"/>
      <c r="DE17" s="96"/>
      <c r="DF17" s="94"/>
      <c r="DG17" s="97"/>
      <c r="DH17" s="119"/>
      <c r="DI17" s="120"/>
      <c r="DJ17" s="121"/>
      <c r="DK17" s="122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 x14ac:dyDescent="0.3">
      <c r="B18" s="132"/>
      <c r="C18" s="104">
        <v>36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01"/>
      <c r="AI18" s="99"/>
      <c r="AJ18" s="100"/>
      <c r="AK18" s="101"/>
      <c r="AL18" s="99"/>
      <c r="AM18" s="102"/>
      <c r="AN18" s="124"/>
      <c r="AO18" s="125"/>
      <c r="AP18" s="126"/>
      <c r="AQ18" s="127"/>
      <c r="AR18" s="125"/>
      <c r="AS18" s="126"/>
      <c r="AT18" s="127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27"/>
      <c r="BV18" s="125"/>
      <c r="BW18" s="102"/>
      <c r="BX18" s="124"/>
      <c r="BY18" s="125"/>
      <c r="BZ18" s="126"/>
      <c r="CA18" s="127"/>
      <c r="CB18" s="125"/>
      <c r="CC18" s="126"/>
      <c r="CD18" s="127"/>
      <c r="CE18" s="125"/>
      <c r="CF18" s="100"/>
      <c r="CG18" s="101"/>
      <c r="CH18" s="99"/>
      <c r="CI18" s="102"/>
      <c r="CJ18" s="124"/>
      <c r="CK18" s="125"/>
      <c r="CL18" s="126"/>
      <c r="CM18" s="127"/>
      <c r="CN18" s="125"/>
      <c r="CO18" s="126"/>
      <c r="CP18" s="127"/>
      <c r="CQ18" s="125"/>
      <c r="CR18" s="100"/>
      <c r="CS18" s="101"/>
      <c r="CT18" s="99"/>
      <c r="CU18" s="102"/>
      <c r="CV18" s="124"/>
      <c r="CW18" s="125"/>
      <c r="CX18" s="126"/>
      <c r="CY18" s="127"/>
      <c r="CZ18" s="125"/>
      <c r="DA18" s="126"/>
      <c r="DB18" s="127"/>
      <c r="DC18" s="99"/>
      <c r="DD18" s="100"/>
      <c r="DE18" s="101"/>
      <c r="DF18" s="99"/>
      <c r="DG18" s="102"/>
      <c r="DH18" s="124"/>
      <c r="DI18" s="125"/>
      <c r="DJ18" s="126"/>
      <c r="DK18" s="127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 x14ac:dyDescent="0.25">
      <c r="B19" s="131" t="str">
        <f>Donnees!$C$28</f>
        <v>Création du site web</v>
      </c>
      <c r="C19" s="103">
        <v>26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121"/>
      <c r="AW19" s="122"/>
      <c r="AX19" s="120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122"/>
      <c r="BJ19" s="120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121"/>
      <c r="CG19" s="122"/>
      <c r="CH19" s="120"/>
      <c r="CI19" s="97"/>
      <c r="CJ19" s="93"/>
      <c r="CK19" s="94"/>
      <c r="CL19" s="95"/>
      <c r="CM19" s="96"/>
      <c r="CN19" s="94"/>
      <c r="CO19" s="95"/>
      <c r="CP19" s="96"/>
      <c r="CQ19" s="94"/>
      <c r="CR19" s="121"/>
      <c r="CS19" s="122"/>
      <c r="CT19" s="120"/>
      <c r="CU19" s="97"/>
      <c r="CV19" s="93"/>
      <c r="CW19" s="94"/>
      <c r="CX19" s="95"/>
      <c r="CY19" s="96"/>
      <c r="CZ19" s="94"/>
      <c r="DA19" s="95"/>
      <c r="DB19" s="96"/>
      <c r="DC19" s="120"/>
      <c r="DD19" s="121"/>
      <c r="DE19" s="122"/>
      <c r="DF19" s="120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119"/>
      <c r="DU19" s="120"/>
      <c r="DV19" s="121"/>
      <c r="DW19" s="122"/>
      <c r="DX19" s="120"/>
      <c r="DY19" s="121"/>
      <c r="DZ19" s="122"/>
      <c r="EA19" s="120"/>
      <c r="EB19" s="121"/>
      <c r="EC19" s="122"/>
      <c r="ED19" s="120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 x14ac:dyDescent="0.3">
      <c r="B20" s="132"/>
      <c r="C20" s="104">
        <v>27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125"/>
      <c r="AV20" s="126"/>
      <c r="AW20" s="127"/>
      <c r="AX20" s="125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27"/>
      <c r="BJ20" s="125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26"/>
      <c r="CG20" s="127"/>
      <c r="CH20" s="125"/>
      <c r="CI20" s="102"/>
      <c r="CJ20" s="98"/>
      <c r="CK20" s="99"/>
      <c r="CL20" s="100"/>
      <c r="CM20" s="101"/>
      <c r="CN20" s="99"/>
      <c r="CO20" s="100"/>
      <c r="CP20" s="101"/>
      <c r="CQ20" s="99"/>
      <c r="CR20" s="126"/>
      <c r="CS20" s="127"/>
      <c r="CT20" s="125"/>
      <c r="CU20" s="102"/>
      <c r="CV20" s="98"/>
      <c r="CW20" s="99"/>
      <c r="CX20" s="100"/>
      <c r="CY20" s="101"/>
      <c r="CZ20" s="99"/>
      <c r="DA20" s="100"/>
      <c r="DB20" s="101"/>
      <c r="DC20" s="125"/>
      <c r="DD20" s="126"/>
      <c r="DE20" s="127"/>
      <c r="DF20" s="125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124"/>
      <c r="DU20" s="125"/>
      <c r="DV20" s="126"/>
      <c r="DW20" s="127"/>
      <c r="DX20" s="125"/>
      <c r="DY20" s="126"/>
      <c r="DZ20" s="127"/>
      <c r="EA20" s="125"/>
      <c r="EB20" s="126"/>
      <c r="EC20" s="127"/>
      <c r="ED20" s="125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 x14ac:dyDescent="0.25">
      <c r="B21" s="131" t="str">
        <f>Donnees!$C$29</f>
        <v>Planification du projet</v>
      </c>
      <c r="C21" s="103">
        <v>7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120"/>
      <c r="DM21" s="121"/>
      <c r="DN21" s="122"/>
      <c r="DO21" s="120"/>
      <c r="DP21" s="121"/>
      <c r="DQ21" s="122"/>
      <c r="DR21" s="120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 x14ac:dyDescent="0.3">
      <c r="B22" s="132"/>
      <c r="C22" s="104">
        <v>7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125"/>
      <c r="DM22" s="126"/>
      <c r="DN22" s="127"/>
      <c r="DO22" s="125"/>
      <c r="DP22" s="126"/>
      <c r="DQ22" s="127"/>
      <c r="DR22" s="125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 x14ac:dyDescent="0.25">
      <c r="B23" s="131" t="str">
        <f>Donnees!$C$30</f>
        <v>Journal de travail</v>
      </c>
      <c r="C23" s="103">
        <v>11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123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123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123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123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123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123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123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123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123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123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123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 x14ac:dyDescent="0.25">
      <c r="B24" s="132"/>
      <c r="C24" s="104">
        <v>12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125"/>
      <c r="O24" s="128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28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28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99"/>
      <c r="AY24" s="128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28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28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28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28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28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28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28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 x14ac:dyDescent="0.25">
      <c r="B25" s="25" t="s">
        <v>42</v>
      </c>
      <c r="C25" s="27">
        <f>SUM($C$3,$C$5,$C$7,$C$9,$C$11,$C$13,$C$15,$C$17,$C$19,$C$21,$C$23)</f>
        <v>132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 x14ac:dyDescent="0.3">
      <c r="B26" s="26" t="s">
        <v>43</v>
      </c>
      <c r="C26" s="28">
        <f>SUM($C$4,$C$6,$C$8,$C$10,$C$12,$C$14,$C$16,$C$18,$C$20,$C$22,$C$24)</f>
        <v>132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B15:B16"/>
    <mergeCell ref="B17:B18"/>
    <mergeCell ref="B19:B20"/>
    <mergeCell ref="B21:B22"/>
    <mergeCell ref="B23:B24"/>
    <mergeCell ref="B11:B12"/>
    <mergeCell ref="B13:B14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 xr:uid="{00000000-0002-0000-0100-00000000000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27</v>
      </c>
      <c r="C2" s="15" t="s">
        <v>28</v>
      </c>
    </row>
    <row r="3" spans="1:4" ht="19.5" customHeight="1" x14ac:dyDescent="0.25">
      <c r="A3" s="19"/>
      <c r="B3" s="136" t="s">
        <v>16</v>
      </c>
      <c r="C3" s="16">
        <v>0</v>
      </c>
    </row>
    <row r="4" spans="1:4" ht="19.5" customHeight="1" x14ac:dyDescent="0.25">
      <c r="A4" s="19"/>
      <c r="B4" s="13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42</v>
      </c>
      <c r="C3" s="27">
        <v>0</v>
      </c>
    </row>
    <row r="4" spans="2:3" ht="18.75" thickBot="1" x14ac:dyDescent="0.3">
      <c r="B4" s="26" t="s">
        <v>43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I18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 t="s">
        <v>17</v>
      </c>
      <c r="B3" s="4">
        <v>3</v>
      </c>
      <c r="C3" s="113" t="s">
        <v>50</v>
      </c>
      <c r="D3" s="9"/>
    </row>
    <row r="4" spans="1:4" s="53" customFormat="1" ht="27" x14ac:dyDescent="0.25">
      <c r="A4" s="1" t="s">
        <v>18</v>
      </c>
      <c r="B4" s="2">
        <v>3</v>
      </c>
      <c r="C4" s="114" t="s">
        <v>51</v>
      </c>
      <c r="D4" s="10"/>
    </row>
    <row r="5" spans="1:4" s="53" customFormat="1" x14ac:dyDescent="0.25">
      <c r="A5" s="1" t="s">
        <v>19</v>
      </c>
      <c r="B5" s="2">
        <v>5</v>
      </c>
      <c r="C5" s="114" t="s">
        <v>52</v>
      </c>
      <c r="D5" s="10"/>
    </row>
    <row r="6" spans="1:4" s="53" customFormat="1" x14ac:dyDescent="0.25">
      <c r="A6" s="1" t="s">
        <v>26</v>
      </c>
      <c r="B6" s="2">
        <v>1</v>
      </c>
      <c r="C6" s="114" t="s">
        <v>53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12</v>
      </c>
      <c r="C13" s="88" t="s">
        <v>54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44</v>
      </c>
      <c r="B15" s="7">
        <v>2</v>
      </c>
      <c r="C15" s="17"/>
      <c r="D15" s="87"/>
    </row>
    <row r="16" spans="1:4" ht="27.75" thickBot="1" x14ac:dyDescent="0.3">
      <c r="A16" s="8" t="s">
        <v>45</v>
      </c>
      <c r="B16" s="18" t="s">
        <v>46</v>
      </c>
      <c r="C16" s="8" t="s">
        <v>47</v>
      </c>
      <c r="D16" s="8" t="s">
        <v>48</v>
      </c>
    </row>
    <row r="17" spans="1:9" x14ac:dyDescent="0.25">
      <c r="A17" s="5" t="s">
        <v>19</v>
      </c>
      <c r="B17" s="4">
        <v>3</v>
      </c>
      <c r="C17" s="113" t="s">
        <v>55</v>
      </c>
      <c r="D17" s="9"/>
    </row>
    <row r="18" spans="1:9" ht="27" x14ac:dyDescent="0.25">
      <c r="A18" s="1" t="s">
        <v>22</v>
      </c>
      <c r="B18" s="2">
        <v>2</v>
      </c>
      <c r="C18" s="116" t="s">
        <v>56</v>
      </c>
      <c r="D18" s="117" t="s">
        <v>57</v>
      </c>
    </row>
    <row r="19" spans="1:9" ht="40.5" x14ac:dyDescent="0.25">
      <c r="A19" s="1" t="s">
        <v>21</v>
      </c>
      <c r="B19" s="2">
        <v>6</v>
      </c>
      <c r="C19" s="116" t="s">
        <v>58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59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49</v>
      </c>
      <c r="B27" s="12">
        <f>SUM(B17:B26)</f>
        <v>12</v>
      </c>
      <c r="C27" s="88" t="s">
        <v>54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44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45</v>
      </c>
      <c r="B30" s="18" t="s">
        <v>46</v>
      </c>
      <c r="C30" s="8" t="s">
        <v>47</v>
      </c>
      <c r="D30" s="8" t="s">
        <v>48</v>
      </c>
      <c r="E30" s="20"/>
      <c r="F30" s="39"/>
      <c r="G30" s="40"/>
      <c r="H30" s="40"/>
      <c r="I30" s="20"/>
    </row>
    <row r="31" spans="1:9" ht="14.25" x14ac:dyDescent="0.3">
      <c r="A31" s="5" t="s">
        <v>16</v>
      </c>
      <c r="B31" s="4">
        <v>2</v>
      </c>
      <c r="C31" s="113" t="s">
        <v>60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18</v>
      </c>
      <c r="B32" s="2">
        <v>1</v>
      </c>
      <c r="C32" s="114" t="s">
        <v>61</v>
      </c>
      <c r="D32" s="10"/>
      <c r="E32" s="20"/>
      <c r="F32" s="20"/>
      <c r="G32" s="20"/>
      <c r="H32" s="20"/>
      <c r="I32" s="20"/>
    </row>
    <row r="33" spans="1:9" ht="40.5" x14ac:dyDescent="0.25">
      <c r="A33" s="1" t="s">
        <v>21</v>
      </c>
      <c r="B33" s="2">
        <v>3</v>
      </c>
      <c r="C33" s="114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22</v>
      </c>
      <c r="B34" s="2">
        <v>5</v>
      </c>
      <c r="C34" s="114" t="s">
        <v>63</v>
      </c>
      <c r="D34" s="10"/>
      <c r="E34" s="20"/>
      <c r="F34" s="20"/>
      <c r="G34" s="20"/>
      <c r="H34" s="20"/>
      <c r="I34" s="20"/>
    </row>
    <row r="35" spans="1:9" x14ac:dyDescent="0.25">
      <c r="A35" s="1" t="s">
        <v>26</v>
      </c>
      <c r="B35" s="2">
        <v>1</v>
      </c>
      <c r="C35" s="114" t="s">
        <v>59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49</v>
      </c>
      <c r="B41" s="12">
        <f>SUM(B31:B40)</f>
        <v>12</v>
      </c>
      <c r="C41" s="88" t="s">
        <v>54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44</v>
      </c>
      <c r="B43" s="7">
        <v>4</v>
      </c>
      <c r="C43" s="17"/>
      <c r="D43" s="87"/>
    </row>
    <row r="44" spans="1:9" ht="27.75" thickBot="1" x14ac:dyDescent="0.3">
      <c r="A44" s="8" t="s">
        <v>45</v>
      </c>
      <c r="B44" s="18" t="s">
        <v>46</v>
      </c>
      <c r="C44" s="8" t="s">
        <v>47</v>
      </c>
      <c r="D44" s="8" t="s">
        <v>48</v>
      </c>
    </row>
    <row r="45" spans="1:9" x14ac:dyDescent="0.25">
      <c r="A45" s="5" t="s">
        <v>23</v>
      </c>
      <c r="B45" s="4">
        <v>8</v>
      </c>
      <c r="C45" s="113" t="s">
        <v>64</v>
      </c>
      <c r="D45" s="9"/>
    </row>
    <row r="46" spans="1:9" x14ac:dyDescent="0.25">
      <c r="A46" s="1" t="s">
        <v>24</v>
      </c>
      <c r="B46" s="2">
        <v>3</v>
      </c>
      <c r="C46" s="114" t="s">
        <v>65</v>
      </c>
      <c r="D46" s="10"/>
    </row>
    <row r="47" spans="1:9" x14ac:dyDescent="0.25">
      <c r="A47" s="1" t="s">
        <v>26</v>
      </c>
      <c r="B47" s="2">
        <v>1</v>
      </c>
      <c r="C47" s="114" t="s">
        <v>59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49</v>
      </c>
      <c r="B55" s="12">
        <f>SUM(B45:B54)</f>
        <v>12</v>
      </c>
      <c r="C55" s="88" t="s">
        <v>54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44</v>
      </c>
      <c r="B57" s="7">
        <v>5</v>
      </c>
      <c r="C57" s="17"/>
      <c r="D57" s="87"/>
    </row>
    <row r="58" spans="1:4" ht="27.75" thickBot="1" x14ac:dyDescent="0.3">
      <c r="A58" s="8" t="s">
        <v>45</v>
      </c>
      <c r="B58" s="18" t="s">
        <v>46</v>
      </c>
      <c r="C58" s="8" t="s">
        <v>47</v>
      </c>
      <c r="D58" s="8" t="s">
        <v>48</v>
      </c>
    </row>
    <row r="59" spans="1:4" x14ac:dyDescent="0.25">
      <c r="A59" s="5" t="s">
        <v>16</v>
      </c>
      <c r="B59" s="4">
        <v>2</v>
      </c>
      <c r="C59" s="113" t="s">
        <v>60</v>
      </c>
      <c r="D59" s="9"/>
    </row>
    <row r="60" spans="1:4" ht="27" x14ac:dyDescent="0.25">
      <c r="A60" s="1" t="s">
        <v>18</v>
      </c>
      <c r="B60" s="2">
        <v>1</v>
      </c>
      <c r="C60" s="114" t="s">
        <v>61</v>
      </c>
      <c r="D60" s="10"/>
    </row>
    <row r="61" spans="1:4" x14ac:dyDescent="0.25">
      <c r="A61" s="1" t="s">
        <v>20</v>
      </c>
      <c r="B61" s="2">
        <v>6</v>
      </c>
      <c r="C61" s="114" t="s">
        <v>74</v>
      </c>
      <c r="D61" s="10"/>
    </row>
    <row r="62" spans="1:4" x14ac:dyDescent="0.25">
      <c r="A62" s="1" t="s">
        <v>24</v>
      </c>
      <c r="B62" s="2">
        <v>2</v>
      </c>
      <c r="C62" s="114" t="s">
        <v>75</v>
      </c>
      <c r="D62" s="10"/>
    </row>
    <row r="63" spans="1:4" x14ac:dyDescent="0.25">
      <c r="A63" s="1" t="s">
        <v>26</v>
      </c>
      <c r="B63" s="2">
        <v>1</v>
      </c>
      <c r="C63" s="114" t="s">
        <v>59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49</v>
      </c>
      <c r="B69" s="12">
        <f>SUM(B59:B68)</f>
        <v>12</v>
      </c>
      <c r="C69" s="88" t="s">
        <v>54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44</v>
      </c>
      <c r="B71" s="7">
        <v>6</v>
      </c>
      <c r="C71" s="17"/>
      <c r="D71" s="87"/>
    </row>
    <row r="72" spans="1:4" ht="27.75" thickBot="1" x14ac:dyDescent="0.3">
      <c r="A72" s="8" t="s">
        <v>45</v>
      </c>
      <c r="B72" s="18" t="s">
        <v>46</v>
      </c>
      <c r="C72" s="8" t="s">
        <v>47</v>
      </c>
      <c r="D72" s="8" t="s">
        <v>48</v>
      </c>
    </row>
    <row r="73" spans="1:4" x14ac:dyDescent="0.25">
      <c r="A73" s="5" t="s">
        <v>16</v>
      </c>
      <c r="B73" s="4">
        <v>9</v>
      </c>
      <c r="C73" s="9" t="s">
        <v>76</v>
      </c>
      <c r="D73" s="9"/>
    </row>
    <row r="74" spans="1:4" x14ac:dyDescent="0.25">
      <c r="A74" s="1" t="s">
        <v>23</v>
      </c>
      <c r="B74" s="2">
        <v>2</v>
      </c>
      <c r="C74" s="10" t="s">
        <v>78</v>
      </c>
      <c r="D74" s="10"/>
    </row>
    <row r="75" spans="1:4" x14ac:dyDescent="0.25">
      <c r="A75" s="1" t="s">
        <v>26</v>
      </c>
      <c r="B75" s="2">
        <v>1</v>
      </c>
      <c r="C75" s="114" t="s">
        <v>59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49</v>
      </c>
      <c r="B83" s="12">
        <f>SUM(B73:B82)</f>
        <v>12</v>
      </c>
      <c r="C83" s="88" t="s">
        <v>54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44</v>
      </c>
      <c r="B85" s="7">
        <v>7</v>
      </c>
      <c r="C85" s="17"/>
      <c r="D85" s="87"/>
    </row>
    <row r="86" spans="1:4" ht="27.75" thickBot="1" x14ac:dyDescent="0.3">
      <c r="A86" s="8" t="s">
        <v>45</v>
      </c>
      <c r="B86" s="18" t="s">
        <v>46</v>
      </c>
      <c r="C86" s="8" t="s">
        <v>47</v>
      </c>
      <c r="D86" s="8" t="s">
        <v>48</v>
      </c>
    </row>
    <row r="87" spans="1:4" ht="27" x14ac:dyDescent="0.25">
      <c r="A87" s="5" t="s">
        <v>23</v>
      </c>
      <c r="B87" s="4">
        <v>8</v>
      </c>
      <c r="C87" s="118" t="s">
        <v>79</v>
      </c>
      <c r="D87" s="9"/>
    </row>
    <row r="88" spans="1:4" x14ac:dyDescent="0.25">
      <c r="A88" s="1" t="s">
        <v>24</v>
      </c>
      <c r="B88" s="2">
        <v>3</v>
      </c>
      <c r="C88" s="114" t="s">
        <v>80</v>
      </c>
      <c r="D88" s="10"/>
    </row>
    <row r="89" spans="1:4" x14ac:dyDescent="0.25">
      <c r="A89" s="1" t="s">
        <v>26</v>
      </c>
      <c r="B89" s="2">
        <v>1</v>
      </c>
      <c r="C89" s="114" t="s">
        <v>59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49</v>
      </c>
      <c r="B97" s="12">
        <f>SUM(B87:B96)</f>
        <v>12</v>
      </c>
      <c r="C97" s="88" t="s">
        <v>54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44</v>
      </c>
      <c r="B99" s="7">
        <v>8</v>
      </c>
      <c r="C99" s="17"/>
      <c r="D99" s="87"/>
    </row>
    <row r="100" spans="1:4" ht="27.75" thickBot="1" x14ac:dyDescent="0.3">
      <c r="A100" s="8" t="s">
        <v>45</v>
      </c>
      <c r="B100" s="18" t="s">
        <v>46</v>
      </c>
      <c r="C100" s="8" t="s">
        <v>47</v>
      </c>
      <c r="D100" s="8" t="s">
        <v>48</v>
      </c>
    </row>
    <row r="101" spans="1:4" ht="27" x14ac:dyDescent="0.25">
      <c r="A101" s="5" t="s">
        <v>23</v>
      </c>
      <c r="B101" s="4">
        <v>8</v>
      </c>
      <c r="C101" s="113" t="s">
        <v>81</v>
      </c>
      <c r="D101" s="9"/>
    </row>
    <row r="102" spans="1:4" x14ac:dyDescent="0.25">
      <c r="A102" s="1" t="s">
        <v>24</v>
      </c>
      <c r="B102" s="2">
        <v>3</v>
      </c>
      <c r="C102" s="114" t="s">
        <v>82</v>
      </c>
      <c r="D102" s="10"/>
    </row>
    <row r="103" spans="1:4" x14ac:dyDescent="0.25">
      <c r="A103" s="1" t="s">
        <v>26</v>
      </c>
      <c r="B103" s="2">
        <v>1</v>
      </c>
      <c r="C103" s="114" t="s">
        <v>59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49</v>
      </c>
      <c r="B111" s="12">
        <f>SUM(B101:B110)</f>
        <v>12</v>
      </c>
      <c r="C111" s="88" t="s">
        <v>54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44</v>
      </c>
      <c r="B113" s="7">
        <v>9</v>
      </c>
      <c r="C113" s="17"/>
      <c r="D113" s="87"/>
    </row>
    <row r="114" spans="1:4" ht="27.75" thickBot="1" x14ac:dyDescent="0.3">
      <c r="A114" s="8" t="s">
        <v>45</v>
      </c>
      <c r="B114" s="18" t="s">
        <v>46</v>
      </c>
      <c r="C114" s="8" t="s">
        <v>47</v>
      </c>
      <c r="D114" s="8" t="s">
        <v>48</v>
      </c>
    </row>
    <row r="115" spans="1:4" x14ac:dyDescent="0.25">
      <c r="A115" s="5" t="s">
        <v>23</v>
      </c>
      <c r="B115" s="4">
        <v>7</v>
      </c>
      <c r="C115" s="118" t="s">
        <v>83</v>
      </c>
      <c r="D115" s="9"/>
    </row>
    <row r="116" spans="1:4" ht="27" x14ac:dyDescent="0.25">
      <c r="A116" s="1" t="s">
        <v>24</v>
      </c>
      <c r="B116" s="2">
        <v>4</v>
      </c>
      <c r="C116" s="114" t="s">
        <v>84</v>
      </c>
      <c r="D116" s="10"/>
    </row>
    <row r="117" spans="1:4" x14ac:dyDescent="0.25">
      <c r="A117" s="1" t="s">
        <v>26</v>
      </c>
      <c r="B117" s="2">
        <v>1</v>
      </c>
      <c r="C117" s="114" t="s">
        <v>59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49</v>
      </c>
      <c r="B125" s="12">
        <f>SUM(B115:B124)</f>
        <v>12</v>
      </c>
      <c r="C125" s="88" t="s">
        <v>54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44</v>
      </c>
      <c r="B127" s="7">
        <v>10</v>
      </c>
      <c r="C127" s="17"/>
      <c r="D127" s="87"/>
    </row>
    <row r="128" spans="1:4" ht="27.75" thickBot="1" x14ac:dyDescent="0.3">
      <c r="A128" s="8" t="s">
        <v>45</v>
      </c>
      <c r="B128" s="18" t="s">
        <v>46</v>
      </c>
      <c r="C128" s="8" t="s">
        <v>47</v>
      </c>
      <c r="D128" s="8" t="s">
        <v>48</v>
      </c>
    </row>
    <row r="129" spans="1:4" x14ac:dyDescent="0.25">
      <c r="A129" s="5" t="s">
        <v>23</v>
      </c>
      <c r="B129" s="4">
        <v>4</v>
      </c>
      <c r="C129" s="113" t="s">
        <v>85</v>
      </c>
      <c r="D129" s="9"/>
    </row>
    <row r="130" spans="1:4" ht="27" x14ac:dyDescent="0.25">
      <c r="A130" s="1" t="s">
        <v>25</v>
      </c>
      <c r="B130" s="2">
        <v>7</v>
      </c>
      <c r="C130" s="114" t="s">
        <v>86</v>
      </c>
      <c r="D130" s="10"/>
    </row>
    <row r="131" spans="1:4" x14ac:dyDescent="0.25">
      <c r="A131" s="1" t="s">
        <v>26</v>
      </c>
      <c r="B131" s="2">
        <v>1</v>
      </c>
      <c r="C131" s="114" t="s">
        <v>59</v>
      </c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49</v>
      </c>
      <c r="B139" s="12">
        <f>SUM(B129:B138)</f>
        <v>12</v>
      </c>
      <c r="C139" s="88" t="s">
        <v>54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44</v>
      </c>
      <c r="B141" s="7">
        <v>11</v>
      </c>
      <c r="C141" s="17"/>
      <c r="D141" s="87"/>
    </row>
    <row r="142" spans="1:4" ht="27.75" thickBot="1" x14ac:dyDescent="0.3">
      <c r="A142" s="8" t="s">
        <v>45</v>
      </c>
      <c r="B142" s="18" t="s">
        <v>46</v>
      </c>
      <c r="C142" s="8" t="s">
        <v>47</v>
      </c>
      <c r="D142" s="8" t="s">
        <v>48</v>
      </c>
    </row>
    <row r="143" spans="1:4" ht="27" x14ac:dyDescent="0.25">
      <c r="A143" s="5" t="s">
        <v>24</v>
      </c>
      <c r="B143" s="4">
        <v>3</v>
      </c>
      <c r="C143" s="113" t="s">
        <v>87</v>
      </c>
      <c r="D143" s="9"/>
    </row>
    <row r="144" spans="1:4" x14ac:dyDescent="0.25">
      <c r="A144" s="1" t="s">
        <v>24</v>
      </c>
      <c r="B144" s="2">
        <v>7</v>
      </c>
      <c r="C144" s="114" t="s">
        <v>88</v>
      </c>
      <c r="D144" s="10"/>
    </row>
    <row r="145" spans="1:4" x14ac:dyDescent="0.25">
      <c r="A145" s="1" t="s">
        <v>24</v>
      </c>
      <c r="B145" s="2">
        <v>1</v>
      </c>
      <c r="C145" s="114" t="s">
        <v>89</v>
      </c>
      <c r="D145" s="10"/>
    </row>
    <row r="146" spans="1:4" x14ac:dyDescent="0.25">
      <c r="A146" s="1" t="s">
        <v>26</v>
      </c>
      <c r="B146" s="2">
        <v>1</v>
      </c>
      <c r="C146" s="114" t="s">
        <v>59</v>
      </c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49</v>
      </c>
      <c r="B153" s="12">
        <f>SUM(B143:B152)</f>
        <v>12</v>
      </c>
      <c r="C153" s="88" t="s">
        <v>54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44</v>
      </c>
      <c r="B155" s="7">
        <v>12</v>
      </c>
      <c r="C155" s="17"/>
      <c r="D155" s="87"/>
    </row>
    <row r="156" spans="1:4" ht="27.75" thickBot="1" x14ac:dyDescent="0.3">
      <c r="A156" s="8" t="s">
        <v>45</v>
      </c>
      <c r="B156" s="18" t="s">
        <v>46</v>
      </c>
      <c r="C156" s="8" t="s">
        <v>47</v>
      </c>
      <c r="D156" s="8" t="s">
        <v>48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49</v>
      </c>
      <c r="B167" s="12">
        <f>SUM(B157:B166)</f>
        <v>0</v>
      </c>
      <c r="C167" s="88" t="s">
        <v>54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44</v>
      </c>
      <c r="B169" s="7">
        <v>13</v>
      </c>
      <c r="C169" s="17"/>
      <c r="D169" s="87"/>
    </row>
    <row r="170" spans="1:4" ht="27.75" thickBot="1" x14ac:dyDescent="0.3">
      <c r="A170" s="8" t="s">
        <v>45</v>
      </c>
      <c r="B170" s="18" t="s">
        <v>46</v>
      </c>
      <c r="C170" s="8" t="s">
        <v>47</v>
      </c>
      <c r="D170" s="8" t="s">
        <v>48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49</v>
      </c>
      <c r="B181" s="12">
        <f>SUM(B171:B180)</f>
        <v>0</v>
      </c>
      <c r="C181" s="88" t="s">
        <v>54</v>
      </c>
      <c r="D181" s="13"/>
    </row>
    <row r="182" spans="1:4" ht="14.25" x14ac:dyDescent="0.3">
      <c r="A182" s="14"/>
      <c r="B182" s="14"/>
      <c r="C182" s="14"/>
      <c r="D182" s="14"/>
    </row>
    <row r="183" spans="1:4" x14ac:dyDescent="0.25">
      <c r="A183" s="89" t="s">
        <v>66</v>
      </c>
    </row>
  </sheetData>
  <sheetProtection insertRows="0" selectLockedCells="1"/>
  <dataValidations count="4">
    <dataValidation type="list" allowBlank="1" showInputMessage="1" showErrorMessage="1" sqref="A3:A12 A17:A26 A31:A40 A45:A54 A171:A180 A59:A68 A73:A82 A87:A96 A101:A110 A143:A152 A115:A124 A157:A166 A129:A138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 xr:uid="{00000000-0002-0000-05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171:B180 B59:B68 B73:B82 B87:B96 B101:B110 B143:B152 B115:B124 B157:B166 B129:B138" xr:uid="{00000000-0002-0000-05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500-000003000000}">
      <formula1>0</formula1>
      <formula2>DureePeriode-1</formula2>
    </dataValidation>
  </dataValidations>
  <hyperlinks>
    <hyperlink ref="D18" r:id="rId1" xr:uid="{00000000-0004-0000-05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4273" r:id="rId5" name="btnImportPlanific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5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44</v>
      </c>
      <c r="B1" s="44">
        <v>1</v>
      </c>
      <c r="C1" s="45" t="s">
        <v>67</v>
      </c>
      <c r="D1" s="54"/>
    </row>
    <row r="2" spans="1:4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49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A1:I157"/>
  <sheetViews>
    <sheetView workbookViewId="0">
      <selection activeCell="A100" sqref="A100:C10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44</v>
      </c>
      <c r="B1" s="44">
        <v>1</v>
      </c>
      <c r="C1" s="45" t="s">
        <v>67</v>
      </c>
      <c r="D1" s="54">
        <f>Donnees!$C$9</f>
        <v>44435</v>
      </c>
    </row>
    <row r="2" spans="1:9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9" s="53" customFormat="1" x14ac:dyDescent="0.25">
      <c r="A3" s="5" t="s">
        <v>17</v>
      </c>
      <c r="B3" s="4">
        <v>3</v>
      </c>
      <c r="C3" s="113" t="s">
        <v>68</v>
      </c>
      <c r="D3" s="9"/>
    </row>
    <row r="4" spans="1:9" s="53" customFormat="1" ht="27" x14ac:dyDescent="0.25">
      <c r="A4" s="1" t="s">
        <v>18</v>
      </c>
      <c r="B4" s="2">
        <v>2</v>
      </c>
      <c r="C4" s="114" t="s">
        <v>69</v>
      </c>
      <c r="D4" s="10"/>
    </row>
    <row r="5" spans="1:9" s="53" customFormat="1" x14ac:dyDescent="0.25">
      <c r="A5" s="1" t="s">
        <v>19</v>
      </c>
      <c r="B5" s="2">
        <v>5</v>
      </c>
      <c r="C5" s="114" t="s">
        <v>70</v>
      </c>
      <c r="D5" s="115" t="s">
        <v>71</v>
      </c>
    </row>
    <row r="6" spans="1:9" s="53" customFormat="1" x14ac:dyDescent="0.25">
      <c r="A6" s="1" t="s">
        <v>26</v>
      </c>
      <c r="B6" s="2">
        <v>2</v>
      </c>
      <c r="C6" s="114" t="s">
        <v>72</v>
      </c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49</v>
      </c>
      <c r="B10" s="48">
        <f>SUM(B3:B9)</f>
        <v>12</v>
      </c>
      <c r="C10" s="112" t="s">
        <v>54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44</v>
      </c>
      <c r="B12" s="44">
        <v>2</v>
      </c>
      <c r="C12" s="45" t="s">
        <v>67</v>
      </c>
      <c r="D12" s="54">
        <f>$D$1+7</f>
        <v>44442</v>
      </c>
    </row>
    <row r="13" spans="1:9" ht="27.75" thickBot="1" x14ac:dyDescent="0.3">
      <c r="A13" s="46" t="s">
        <v>45</v>
      </c>
      <c r="B13" s="47" t="s">
        <v>46</v>
      </c>
      <c r="C13" s="46" t="s">
        <v>47</v>
      </c>
      <c r="D13" s="46" t="s">
        <v>48</v>
      </c>
    </row>
    <row r="14" spans="1:9" x14ac:dyDescent="0.25">
      <c r="A14" s="5" t="s">
        <v>19</v>
      </c>
      <c r="B14" s="4">
        <v>3</v>
      </c>
      <c r="C14" s="113" t="s">
        <v>55</v>
      </c>
      <c r="D14" s="9"/>
    </row>
    <row r="15" spans="1:9" ht="27" x14ac:dyDescent="0.25">
      <c r="A15" s="1" t="s">
        <v>22</v>
      </c>
      <c r="B15" s="2">
        <v>2</v>
      </c>
      <c r="C15" s="116" t="s">
        <v>56</v>
      </c>
      <c r="D15" s="10"/>
    </row>
    <row r="16" spans="1:9" ht="40.5" x14ac:dyDescent="0.25">
      <c r="A16" s="1" t="s">
        <v>21</v>
      </c>
      <c r="B16" s="2">
        <v>6</v>
      </c>
      <c r="C16" s="116" t="s">
        <v>58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59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ht="14.25" thickBot="1" x14ac:dyDescent="0.3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48" t="s">
        <v>49</v>
      </c>
      <c r="B21" s="48">
        <f>SUM(B14:B20)</f>
        <v>12</v>
      </c>
      <c r="C21" s="112" t="s">
        <v>54</v>
      </c>
      <c r="D21" s="49"/>
      <c r="E21" s="20"/>
      <c r="F21" s="20"/>
      <c r="G21" s="20"/>
      <c r="H21" s="20"/>
      <c r="I21" s="20"/>
    </row>
    <row r="22" spans="1:9" ht="15" thickBot="1" x14ac:dyDescent="0.35">
      <c r="A22" s="50"/>
      <c r="B22" s="50"/>
      <c r="C22" s="50"/>
      <c r="D22" s="50"/>
      <c r="E22" s="20"/>
      <c r="F22" s="20"/>
      <c r="G22" s="20"/>
      <c r="H22" s="20"/>
      <c r="I22" s="20"/>
    </row>
    <row r="23" spans="1:9" ht="18.75" thickBot="1" x14ac:dyDescent="0.3">
      <c r="A23" s="43" t="s">
        <v>44</v>
      </c>
      <c r="B23" s="44">
        <v>3</v>
      </c>
      <c r="C23" s="45" t="s">
        <v>67</v>
      </c>
      <c r="D23" s="54">
        <f>$D$12+7</f>
        <v>44449</v>
      </c>
      <c r="E23" s="20"/>
      <c r="F23" s="20"/>
      <c r="G23" s="20"/>
      <c r="H23" s="20"/>
      <c r="I23" s="20"/>
    </row>
    <row r="24" spans="1:9" ht="27.75" thickBot="1" x14ac:dyDescent="0.3">
      <c r="A24" s="46" t="s">
        <v>45</v>
      </c>
      <c r="B24" s="47" t="s">
        <v>46</v>
      </c>
      <c r="C24" s="46" t="s">
        <v>47</v>
      </c>
      <c r="D24" s="46" t="s">
        <v>48</v>
      </c>
    </row>
    <row r="25" spans="1:9" x14ac:dyDescent="0.25">
      <c r="A25" s="5" t="s">
        <v>16</v>
      </c>
      <c r="B25" s="4">
        <v>2</v>
      </c>
      <c r="C25" s="113" t="s">
        <v>60</v>
      </c>
      <c r="D25" s="9"/>
    </row>
    <row r="26" spans="1:9" ht="27" x14ac:dyDescent="0.25">
      <c r="A26" s="1" t="s">
        <v>18</v>
      </c>
      <c r="B26" s="2">
        <v>1</v>
      </c>
      <c r="C26" s="114" t="s">
        <v>61</v>
      </c>
      <c r="D26" s="10"/>
    </row>
    <row r="27" spans="1:9" ht="40.5" x14ac:dyDescent="0.25">
      <c r="A27" s="1" t="s">
        <v>21</v>
      </c>
      <c r="B27" s="2">
        <v>3</v>
      </c>
      <c r="C27" s="114" t="s">
        <v>62</v>
      </c>
      <c r="D27" s="10"/>
    </row>
    <row r="28" spans="1:9" ht="27" x14ac:dyDescent="0.25">
      <c r="A28" s="1" t="s">
        <v>22</v>
      </c>
      <c r="B28" s="2">
        <v>5</v>
      </c>
      <c r="C28" s="114" t="s">
        <v>63</v>
      </c>
      <c r="D28" s="10"/>
    </row>
    <row r="29" spans="1:9" x14ac:dyDescent="0.25">
      <c r="A29" s="1" t="s">
        <v>26</v>
      </c>
      <c r="B29" s="2">
        <v>1</v>
      </c>
      <c r="C29" s="114" t="s">
        <v>59</v>
      </c>
      <c r="D29" s="10"/>
    </row>
    <row r="30" spans="1:9" x14ac:dyDescent="0.25">
      <c r="A30" s="1"/>
      <c r="B30" s="2"/>
      <c r="C30" s="10"/>
      <c r="D30" s="10"/>
    </row>
    <row r="31" spans="1:9" x14ac:dyDescent="0.25">
      <c r="A31" s="1"/>
      <c r="B31" s="2"/>
      <c r="C31" s="10"/>
      <c r="D31" s="10"/>
    </row>
    <row r="32" spans="1:9" ht="14.25" thickBot="1" x14ac:dyDescent="0.3">
      <c r="A32" s="1"/>
      <c r="B32" s="2"/>
      <c r="C32" s="10"/>
      <c r="D32" s="10"/>
    </row>
    <row r="33" spans="1:4" ht="14.25" thickBot="1" x14ac:dyDescent="0.3">
      <c r="A33" s="48" t="s">
        <v>49</v>
      </c>
      <c r="B33" s="48">
        <f>SUM(B25:B32)</f>
        <v>12</v>
      </c>
      <c r="C33" s="112" t="s">
        <v>54</v>
      </c>
      <c r="D33" s="49"/>
    </row>
    <row r="34" spans="1:4" ht="15" thickBot="1" x14ac:dyDescent="0.35">
      <c r="A34" s="50"/>
      <c r="B34" s="50"/>
      <c r="C34" s="50"/>
      <c r="D34" s="50"/>
    </row>
    <row r="35" spans="1:4" ht="18.75" thickBot="1" x14ac:dyDescent="0.3">
      <c r="A35" s="43" t="s">
        <v>44</v>
      </c>
      <c r="B35" s="44">
        <v>4</v>
      </c>
      <c r="C35" s="45" t="s">
        <v>67</v>
      </c>
      <c r="D35" s="54">
        <f>$D$23+7</f>
        <v>44456</v>
      </c>
    </row>
    <row r="36" spans="1:4" ht="27.75" thickBot="1" x14ac:dyDescent="0.3">
      <c r="A36" s="46" t="s">
        <v>45</v>
      </c>
      <c r="B36" s="47" t="s">
        <v>46</v>
      </c>
      <c r="C36" s="46" t="s">
        <v>47</v>
      </c>
      <c r="D36" s="46" t="s">
        <v>48</v>
      </c>
    </row>
    <row r="37" spans="1:4" x14ac:dyDescent="0.25">
      <c r="A37" s="5" t="s">
        <v>23</v>
      </c>
      <c r="B37" s="4">
        <v>4</v>
      </c>
      <c r="C37" s="113" t="s">
        <v>64</v>
      </c>
      <c r="D37" s="9"/>
    </row>
    <row r="38" spans="1:4" x14ac:dyDescent="0.25">
      <c r="A38" s="1" t="s">
        <v>23</v>
      </c>
      <c r="B38" s="2">
        <v>3</v>
      </c>
      <c r="C38" s="114" t="s">
        <v>73</v>
      </c>
      <c r="D38" s="10"/>
    </row>
    <row r="39" spans="1:4" x14ac:dyDescent="0.25">
      <c r="A39" s="1" t="s">
        <v>24</v>
      </c>
      <c r="B39" s="2">
        <v>4</v>
      </c>
      <c r="C39" s="114" t="s">
        <v>65</v>
      </c>
      <c r="D39" s="10"/>
    </row>
    <row r="40" spans="1:4" x14ac:dyDescent="0.25">
      <c r="A40" s="1" t="s">
        <v>26</v>
      </c>
      <c r="B40" s="2">
        <v>1</v>
      </c>
      <c r="C40" s="114" t="s">
        <v>59</v>
      </c>
      <c r="D40" s="10"/>
    </row>
    <row r="41" spans="1:4" x14ac:dyDescent="0.25">
      <c r="A41" s="1"/>
      <c r="B41" s="2"/>
      <c r="C41" s="10"/>
      <c r="D41" s="10"/>
    </row>
    <row r="42" spans="1:4" x14ac:dyDescent="0.25">
      <c r="A42" s="1"/>
      <c r="B42" s="2"/>
      <c r="C42" s="10"/>
      <c r="D42" s="10"/>
    </row>
    <row r="43" spans="1:4" ht="14.25" thickBot="1" x14ac:dyDescent="0.3">
      <c r="A43" s="1"/>
      <c r="B43" s="2"/>
      <c r="C43" s="10"/>
      <c r="D43" s="10"/>
    </row>
    <row r="44" spans="1:4" ht="14.25" thickBot="1" x14ac:dyDescent="0.3">
      <c r="A44" s="48" t="s">
        <v>49</v>
      </c>
      <c r="B44" s="48">
        <f>SUM(B37:B43)</f>
        <v>12</v>
      </c>
      <c r="C44" s="112" t="s">
        <v>54</v>
      </c>
      <c r="D44" s="49"/>
    </row>
    <row r="45" spans="1:4" ht="15" thickBot="1" x14ac:dyDescent="0.35">
      <c r="A45" s="50"/>
      <c r="B45" s="50"/>
      <c r="C45" s="50"/>
      <c r="D45" s="50"/>
    </row>
    <row r="46" spans="1:4" ht="18.75" thickBot="1" x14ac:dyDescent="0.3">
      <c r="A46" s="43" t="s">
        <v>44</v>
      </c>
      <c r="B46" s="44">
        <v>5</v>
      </c>
      <c r="C46" s="45" t="s">
        <v>67</v>
      </c>
      <c r="D46" s="54">
        <f>$D$35+7</f>
        <v>44463</v>
      </c>
    </row>
    <row r="47" spans="1:4" ht="27.75" thickBot="1" x14ac:dyDescent="0.3">
      <c r="A47" s="46" t="s">
        <v>45</v>
      </c>
      <c r="B47" s="47" t="s">
        <v>46</v>
      </c>
      <c r="C47" s="46" t="s">
        <v>47</v>
      </c>
      <c r="D47" s="46" t="s">
        <v>48</v>
      </c>
    </row>
    <row r="48" spans="1:4" x14ac:dyDescent="0.25">
      <c r="A48" s="5" t="s">
        <v>16</v>
      </c>
      <c r="B48" s="4">
        <v>2</v>
      </c>
      <c r="C48" s="113" t="s">
        <v>60</v>
      </c>
      <c r="D48" s="9"/>
    </row>
    <row r="49" spans="1:4" ht="27" x14ac:dyDescent="0.25">
      <c r="A49" s="1" t="s">
        <v>18</v>
      </c>
      <c r="B49" s="2">
        <v>1</v>
      </c>
      <c r="C49" s="114" t="s">
        <v>61</v>
      </c>
      <c r="D49" s="10"/>
    </row>
    <row r="50" spans="1:4" x14ac:dyDescent="0.25">
      <c r="A50" s="1" t="s">
        <v>20</v>
      </c>
      <c r="B50" s="2">
        <v>6</v>
      </c>
      <c r="C50" s="114" t="s">
        <v>74</v>
      </c>
      <c r="D50" s="10"/>
    </row>
    <row r="51" spans="1:4" x14ac:dyDescent="0.25">
      <c r="A51" s="1" t="s">
        <v>24</v>
      </c>
      <c r="B51" s="2">
        <v>2</v>
      </c>
      <c r="C51" s="114" t="s">
        <v>75</v>
      </c>
      <c r="D51" s="10"/>
    </row>
    <row r="52" spans="1:4" x14ac:dyDescent="0.25">
      <c r="A52" s="1" t="s">
        <v>26</v>
      </c>
      <c r="B52" s="2">
        <v>1</v>
      </c>
      <c r="C52" s="114" t="s">
        <v>59</v>
      </c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ht="14.25" thickBot="1" x14ac:dyDescent="0.3">
      <c r="A55" s="1"/>
      <c r="B55" s="2"/>
      <c r="C55" s="10"/>
      <c r="D55" s="10"/>
    </row>
    <row r="56" spans="1:4" ht="14.25" thickBot="1" x14ac:dyDescent="0.3">
      <c r="A56" s="48" t="s">
        <v>49</v>
      </c>
      <c r="B56" s="48">
        <f>SUM(B48:B55)</f>
        <v>12</v>
      </c>
      <c r="C56" s="112" t="s">
        <v>54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44</v>
      </c>
      <c r="B58" s="44">
        <v>6</v>
      </c>
      <c r="C58" s="45" t="s">
        <v>67</v>
      </c>
      <c r="D58" s="54">
        <f>$D$46+7</f>
        <v>44470</v>
      </c>
    </row>
    <row r="59" spans="1:4" ht="27.75" thickBot="1" x14ac:dyDescent="0.3">
      <c r="A59" s="46" t="s">
        <v>45</v>
      </c>
      <c r="B59" s="47" t="s">
        <v>46</v>
      </c>
      <c r="C59" s="46" t="s">
        <v>47</v>
      </c>
      <c r="D59" s="46" t="s">
        <v>48</v>
      </c>
    </row>
    <row r="60" spans="1:4" x14ac:dyDescent="0.25">
      <c r="A60" s="5" t="s">
        <v>16</v>
      </c>
      <c r="B60" s="4">
        <v>9</v>
      </c>
      <c r="C60" s="9" t="s">
        <v>76</v>
      </c>
      <c r="D60" s="9" t="s">
        <v>77</v>
      </c>
    </row>
    <row r="61" spans="1:4" x14ac:dyDescent="0.25">
      <c r="A61" s="1" t="s">
        <v>23</v>
      </c>
      <c r="B61" s="2">
        <v>2</v>
      </c>
      <c r="C61" s="10" t="s">
        <v>78</v>
      </c>
      <c r="D61" s="10"/>
    </row>
    <row r="62" spans="1:4" x14ac:dyDescent="0.25">
      <c r="A62" s="1" t="s">
        <v>26</v>
      </c>
      <c r="B62" s="2">
        <v>1</v>
      </c>
      <c r="C62" s="114" t="s">
        <v>59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ht="14.25" thickBot="1" x14ac:dyDescent="0.3">
      <c r="A66" s="48" t="s">
        <v>49</v>
      </c>
      <c r="B66" s="48">
        <f>SUM(B60:B65)</f>
        <v>12</v>
      </c>
      <c r="C66" s="112" t="s">
        <v>54</v>
      </c>
      <c r="D66" s="49"/>
    </row>
    <row r="67" spans="1:4" ht="15" thickBot="1" x14ac:dyDescent="0.35">
      <c r="A67" s="50"/>
      <c r="B67" s="50"/>
      <c r="C67" s="50"/>
      <c r="D67" s="50"/>
    </row>
    <row r="68" spans="1:4" ht="18.75" thickBot="1" x14ac:dyDescent="0.3">
      <c r="A68" s="43" t="s">
        <v>44</v>
      </c>
      <c r="B68" s="44">
        <v>7</v>
      </c>
      <c r="C68" s="45" t="s">
        <v>67</v>
      </c>
      <c r="D68" s="54">
        <f>$D$58+7</f>
        <v>44477</v>
      </c>
    </row>
    <row r="69" spans="1:4" ht="27.75" thickBot="1" x14ac:dyDescent="0.3">
      <c r="A69" s="46" t="s">
        <v>45</v>
      </c>
      <c r="B69" s="47" t="s">
        <v>46</v>
      </c>
      <c r="C69" s="46" t="s">
        <v>47</v>
      </c>
      <c r="D69" s="46" t="s">
        <v>48</v>
      </c>
    </row>
    <row r="70" spans="1:4" ht="27" x14ac:dyDescent="0.25">
      <c r="A70" s="5" t="s">
        <v>23</v>
      </c>
      <c r="B70" s="4">
        <v>8</v>
      </c>
      <c r="C70" s="118" t="s">
        <v>79</v>
      </c>
      <c r="D70" s="9"/>
    </row>
    <row r="71" spans="1:4" x14ac:dyDescent="0.25">
      <c r="A71" s="1" t="s">
        <v>24</v>
      </c>
      <c r="B71" s="2">
        <v>3</v>
      </c>
      <c r="C71" s="114" t="s">
        <v>80</v>
      </c>
      <c r="D71" s="10"/>
    </row>
    <row r="72" spans="1:4" x14ac:dyDescent="0.25">
      <c r="A72" s="1" t="s">
        <v>26</v>
      </c>
      <c r="B72" s="2">
        <v>1</v>
      </c>
      <c r="C72" s="114" t="s">
        <v>59</v>
      </c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ht="14.25" thickBot="1" x14ac:dyDescent="0.3">
      <c r="A75" s="1"/>
      <c r="B75" s="2"/>
      <c r="C75" s="10"/>
      <c r="D75" s="10"/>
    </row>
    <row r="76" spans="1:4" ht="14.25" thickBot="1" x14ac:dyDescent="0.3">
      <c r="A76" s="48" t="s">
        <v>49</v>
      </c>
      <c r="B76" s="48">
        <f>SUM(B70:B75)</f>
        <v>12</v>
      </c>
      <c r="C76" s="112" t="s">
        <v>54</v>
      </c>
      <c r="D76" s="49"/>
    </row>
    <row r="77" spans="1:4" ht="15" thickBot="1" x14ac:dyDescent="0.35">
      <c r="A77" s="50"/>
      <c r="B77" s="50"/>
      <c r="C77" s="50"/>
      <c r="D77" s="50"/>
    </row>
    <row r="78" spans="1:4" ht="18.75" thickBot="1" x14ac:dyDescent="0.3">
      <c r="A78" s="43" t="s">
        <v>44</v>
      </c>
      <c r="B78" s="44">
        <v>8</v>
      </c>
      <c r="C78" s="45" t="s">
        <v>67</v>
      </c>
      <c r="D78" s="54">
        <f>$D$68+7</f>
        <v>44484</v>
      </c>
    </row>
    <row r="79" spans="1:4" ht="27.75" thickBot="1" x14ac:dyDescent="0.3">
      <c r="A79" s="46" t="s">
        <v>45</v>
      </c>
      <c r="B79" s="47" t="s">
        <v>46</v>
      </c>
      <c r="C79" s="46" t="s">
        <v>47</v>
      </c>
      <c r="D79" s="46" t="s">
        <v>48</v>
      </c>
    </row>
    <row r="80" spans="1:4" ht="27" x14ac:dyDescent="0.25">
      <c r="A80" s="5" t="s">
        <v>23</v>
      </c>
      <c r="B80" s="4">
        <v>8</v>
      </c>
      <c r="C80" s="113" t="s">
        <v>81</v>
      </c>
      <c r="D80" s="9"/>
    </row>
    <row r="81" spans="1:4" x14ac:dyDescent="0.25">
      <c r="A81" s="1" t="s">
        <v>24</v>
      </c>
      <c r="B81" s="2">
        <v>3</v>
      </c>
      <c r="C81" s="114" t="s">
        <v>82</v>
      </c>
      <c r="D81" s="10"/>
    </row>
    <row r="82" spans="1:4" x14ac:dyDescent="0.25">
      <c r="A82" s="1" t="s">
        <v>26</v>
      </c>
      <c r="B82" s="2">
        <v>1</v>
      </c>
      <c r="C82" s="114" t="s">
        <v>59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ht="14.25" thickBot="1" x14ac:dyDescent="0.3">
      <c r="A85" s="1"/>
      <c r="B85" s="2"/>
      <c r="C85" s="10"/>
      <c r="D85" s="10"/>
    </row>
    <row r="86" spans="1:4" ht="14.25" thickBot="1" x14ac:dyDescent="0.3">
      <c r="A86" s="48" t="s">
        <v>49</v>
      </c>
      <c r="B86" s="48">
        <f>SUM(B80:B85)</f>
        <v>12</v>
      </c>
      <c r="C86" s="112" t="s">
        <v>54</v>
      </c>
      <c r="D86" s="49"/>
    </row>
    <row r="87" spans="1:4" ht="15" thickBot="1" x14ac:dyDescent="0.35">
      <c r="A87" s="50"/>
      <c r="B87" s="50"/>
      <c r="C87" s="50"/>
      <c r="D87" s="50"/>
    </row>
    <row r="88" spans="1:4" ht="18.75" thickBot="1" x14ac:dyDescent="0.3">
      <c r="A88" s="43" t="s">
        <v>44</v>
      </c>
      <c r="B88" s="44">
        <v>9</v>
      </c>
      <c r="C88" s="45" t="s">
        <v>67</v>
      </c>
      <c r="D88" s="54">
        <f>$D$78+21</f>
        <v>44505</v>
      </c>
    </row>
    <row r="89" spans="1:4" ht="27.75" thickBot="1" x14ac:dyDescent="0.3">
      <c r="A89" s="46" t="s">
        <v>45</v>
      </c>
      <c r="B89" s="47" t="s">
        <v>46</v>
      </c>
      <c r="C89" s="46" t="s">
        <v>47</v>
      </c>
      <c r="D89" s="46" t="s">
        <v>48</v>
      </c>
    </row>
    <row r="90" spans="1:4" x14ac:dyDescent="0.25">
      <c r="A90" s="5" t="s">
        <v>23</v>
      </c>
      <c r="B90" s="4">
        <v>7</v>
      </c>
      <c r="C90" s="118" t="s">
        <v>83</v>
      </c>
      <c r="D90" s="9"/>
    </row>
    <row r="91" spans="1:4" ht="27" x14ac:dyDescent="0.25">
      <c r="A91" s="1" t="s">
        <v>24</v>
      </c>
      <c r="B91" s="2">
        <v>4</v>
      </c>
      <c r="C91" s="114" t="s">
        <v>84</v>
      </c>
      <c r="D91" s="10"/>
    </row>
    <row r="92" spans="1:4" x14ac:dyDescent="0.25">
      <c r="A92" s="1" t="s">
        <v>26</v>
      </c>
      <c r="B92" s="2">
        <v>1</v>
      </c>
      <c r="C92" s="114" t="s">
        <v>59</v>
      </c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ht="14.25" thickBot="1" x14ac:dyDescent="0.3">
      <c r="A95" s="1"/>
      <c r="B95" s="2"/>
      <c r="C95" s="10"/>
      <c r="D95" s="10"/>
    </row>
    <row r="96" spans="1:4" ht="14.25" thickBot="1" x14ac:dyDescent="0.3">
      <c r="A96" s="48" t="s">
        <v>49</v>
      </c>
      <c r="B96" s="48">
        <f>SUM(B90:B95)</f>
        <v>12</v>
      </c>
      <c r="C96" s="112" t="s">
        <v>54</v>
      </c>
      <c r="D96" s="49"/>
    </row>
    <row r="97" spans="1:4" ht="15" thickBot="1" x14ac:dyDescent="0.35">
      <c r="A97" s="50"/>
      <c r="B97" s="50"/>
      <c r="C97" s="50"/>
      <c r="D97" s="50"/>
    </row>
    <row r="98" spans="1:4" ht="18.75" thickBot="1" x14ac:dyDescent="0.3">
      <c r="A98" s="43" t="s">
        <v>44</v>
      </c>
      <c r="B98" s="44">
        <v>10</v>
      </c>
      <c r="C98" s="45" t="s">
        <v>67</v>
      </c>
      <c r="D98" s="54">
        <f>$D$88+7</f>
        <v>44512</v>
      </c>
    </row>
    <row r="99" spans="1:4" ht="27.75" thickBot="1" x14ac:dyDescent="0.3">
      <c r="A99" s="46" t="s">
        <v>45</v>
      </c>
      <c r="B99" s="47" t="s">
        <v>46</v>
      </c>
      <c r="C99" s="46" t="s">
        <v>47</v>
      </c>
      <c r="D99" s="46" t="s">
        <v>48</v>
      </c>
    </row>
    <row r="100" spans="1:4" x14ac:dyDescent="0.25">
      <c r="A100" s="5" t="s">
        <v>23</v>
      </c>
      <c r="B100" s="4">
        <v>4</v>
      </c>
      <c r="C100" s="113" t="s">
        <v>85</v>
      </c>
      <c r="D100" s="9"/>
    </row>
    <row r="101" spans="1:4" ht="27" x14ac:dyDescent="0.25">
      <c r="A101" s="1" t="s">
        <v>25</v>
      </c>
      <c r="B101" s="2">
        <v>7</v>
      </c>
      <c r="C101" s="114" t="s">
        <v>86</v>
      </c>
      <c r="D101" s="10"/>
    </row>
    <row r="102" spans="1:4" x14ac:dyDescent="0.25">
      <c r="A102" s="1" t="s">
        <v>26</v>
      </c>
      <c r="B102" s="2">
        <v>1</v>
      </c>
      <c r="C102" s="114" t="s">
        <v>59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49</v>
      </c>
      <c r="B106" s="48">
        <f>SUM(B100:B105)</f>
        <v>12</v>
      </c>
      <c r="C106" s="112" t="s">
        <v>54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44</v>
      </c>
      <c r="B108" s="44">
        <v>11</v>
      </c>
      <c r="C108" s="45" t="s">
        <v>67</v>
      </c>
      <c r="D108" s="54">
        <f>$D$98+7</f>
        <v>44519</v>
      </c>
    </row>
    <row r="109" spans="1:4" ht="27.75" thickBot="1" x14ac:dyDescent="0.3">
      <c r="A109" s="46" t="s">
        <v>45</v>
      </c>
      <c r="B109" s="47" t="s">
        <v>46</v>
      </c>
      <c r="C109" s="46" t="s">
        <v>47</v>
      </c>
      <c r="D109" s="46" t="s">
        <v>48</v>
      </c>
    </row>
    <row r="110" spans="1:4" ht="27" x14ac:dyDescent="0.25">
      <c r="A110" s="5" t="s">
        <v>24</v>
      </c>
      <c r="B110" s="4">
        <v>3</v>
      </c>
      <c r="C110" s="113" t="s">
        <v>87</v>
      </c>
      <c r="D110" s="9"/>
    </row>
    <row r="111" spans="1:4" x14ac:dyDescent="0.25">
      <c r="A111" s="1" t="s">
        <v>24</v>
      </c>
      <c r="B111" s="2">
        <v>7</v>
      </c>
      <c r="C111" s="114" t="s">
        <v>88</v>
      </c>
      <c r="D111" s="10"/>
    </row>
    <row r="112" spans="1:4" x14ac:dyDescent="0.25">
      <c r="A112" s="1" t="s">
        <v>24</v>
      </c>
      <c r="B112" s="2">
        <v>1</v>
      </c>
      <c r="C112" s="114" t="s">
        <v>89</v>
      </c>
      <c r="D112" s="10"/>
    </row>
    <row r="113" spans="1:4" x14ac:dyDescent="0.25">
      <c r="A113" s="1" t="s">
        <v>26</v>
      </c>
      <c r="B113" s="2">
        <v>1</v>
      </c>
      <c r="C113" s="114" t="s">
        <v>59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ht="14.25" thickBot="1" x14ac:dyDescent="0.3">
      <c r="A116" s="1"/>
      <c r="B116" s="2"/>
      <c r="C116" s="10"/>
      <c r="D116" s="10"/>
    </row>
    <row r="117" spans="1:4" ht="14.25" thickBot="1" x14ac:dyDescent="0.3">
      <c r="A117" s="48" t="s">
        <v>49</v>
      </c>
      <c r="B117" s="48">
        <f>SUM(B110:B116)</f>
        <v>12</v>
      </c>
      <c r="C117" s="112" t="s">
        <v>54</v>
      </c>
      <c r="D117" s="49"/>
    </row>
    <row r="118" spans="1:4" ht="15" thickBot="1" x14ac:dyDescent="0.35">
      <c r="A118" s="50"/>
      <c r="B118" s="50"/>
      <c r="C118" s="50"/>
      <c r="D118" s="50"/>
    </row>
    <row r="119" spans="1:4" ht="18.75" thickBot="1" x14ac:dyDescent="0.3">
      <c r="A119" s="43" t="s">
        <v>44</v>
      </c>
      <c r="B119" s="44">
        <v>12</v>
      </c>
      <c r="C119" s="45" t="s">
        <v>67</v>
      </c>
      <c r="D119" s="54">
        <f>$D$108+7</f>
        <v>44526</v>
      </c>
    </row>
    <row r="120" spans="1:4" ht="27.75" thickBot="1" x14ac:dyDescent="0.3">
      <c r="A120" s="46" t="s">
        <v>45</v>
      </c>
      <c r="B120" s="47" t="s">
        <v>46</v>
      </c>
      <c r="C120" s="46" t="s">
        <v>47</v>
      </c>
      <c r="D120" s="46" t="s">
        <v>48</v>
      </c>
    </row>
    <row r="121" spans="1:4" x14ac:dyDescent="0.25">
      <c r="A121" s="5"/>
      <c r="B121" s="4"/>
      <c r="C121" s="9"/>
      <c r="D121" s="9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2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51"/>
      <c r="B133" s="51"/>
      <c r="C133" s="52"/>
      <c r="D133" s="52"/>
    </row>
    <row r="134" spans="1:4" x14ac:dyDescent="0.25">
      <c r="A134" s="51"/>
      <c r="B134" s="51"/>
      <c r="C134" s="52"/>
      <c r="D134" s="52"/>
    </row>
    <row r="135" spans="1:4" ht="14.25" thickBot="1" x14ac:dyDescent="0.3">
      <c r="A135" s="3"/>
      <c r="B135" s="3"/>
      <c r="C135" s="11"/>
      <c r="D135" s="11"/>
    </row>
    <row r="136" spans="1:4" ht="14.25" thickBot="1" x14ac:dyDescent="0.3">
      <c r="A136" s="48" t="s">
        <v>49</v>
      </c>
      <c r="B136" s="48">
        <f>SUM(B121:B135)</f>
        <v>0</v>
      </c>
      <c r="C136" s="112" t="s">
        <v>54</v>
      </c>
      <c r="D136" s="49"/>
    </row>
    <row r="137" spans="1:4" ht="15" thickBot="1" x14ac:dyDescent="0.35">
      <c r="A137" s="50"/>
      <c r="B137" s="50"/>
      <c r="C137" s="50"/>
      <c r="D137" s="50"/>
    </row>
    <row r="138" spans="1:4" ht="18.75" thickBot="1" x14ac:dyDescent="0.3">
      <c r="A138" s="43" t="s">
        <v>44</v>
      </c>
      <c r="B138" s="44">
        <v>13</v>
      </c>
      <c r="C138" s="45" t="s">
        <v>67</v>
      </c>
      <c r="D138" s="54">
        <f>$D$119+7</f>
        <v>44533</v>
      </c>
    </row>
    <row r="139" spans="1:4" ht="27.75" thickBot="1" x14ac:dyDescent="0.3">
      <c r="A139" s="46" t="s">
        <v>45</v>
      </c>
      <c r="B139" s="47" t="s">
        <v>46</v>
      </c>
      <c r="C139" s="46" t="s">
        <v>47</v>
      </c>
      <c r="D139" s="46" t="s">
        <v>48</v>
      </c>
    </row>
    <row r="140" spans="1:4" x14ac:dyDescent="0.25">
      <c r="A140" s="5"/>
      <c r="B140" s="4"/>
      <c r="C140" s="9"/>
      <c r="D140" s="9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51"/>
      <c r="B152" s="51"/>
      <c r="C152" s="52"/>
      <c r="D152" s="52"/>
    </row>
    <row r="153" spans="1:4" x14ac:dyDescent="0.25">
      <c r="A153" s="51"/>
      <c r="B153" s="51"/>
      <c r="C153" s="52"/>
      <c r="D153" s="52"/>
    </row>
    <row r="154" spans="1:4" ht="14.25" thickBot="1" x14ac:dyDescent="0.3">
      <c r="A154" s="3"/>
      <c r="B154" s="3"/>
      <c r="C154" s="11"/>
      <c r="D154" s="11"/>
    </row>
    <row r="155" spans="1:4" ht="14.25" thickBot="1" x14ac:dyDescent="0.3">
      <c r="A155" s="48" t="s">
        <v>49</v>
      </c>
      <c r="B155" s="48">
        <f>SUM(B140:B154)</f>
        <v>0</v>
      </c>
      <c r="C155" s="112" t="s">
        <v>54</v>
      </c>
      <c r="D155" s="49"/>
    </row>
    <row r="156" spans="1:4" ht="14.25" x14ac:dyDescent="0.3">
      <c r="A156" s="50"/>
      <c r="B156" s="50"/>
      <c r="C156" s="50"/>
      <c r="D156" s="50"/>
    </row>
    <row r="157" spans="1:4" x14ac:dyDescent="0.25">
      <c r="A157" s="89" t="s">
        <v>66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0 B3:B9 B140:B154 B14:B20 B37:B43 B25:B32 B60:B65 B70:B75 B80:B85 B48:B55 B90:B95 B100:B105 B121:B135 B110:B116" xr:uid="{00000000-0002-0000-0700-000000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1 B33 B44 B56 B66 B76 B86 B96 B106 B117 B136 B155" xr:uid="{00000000-0002-0000-0700-000001000000}">
      <formula1>0</formula1>
      <formula2>NbPerWeek * NbQuartPer</formula2>
    </dataValidation>
    <dataValidation type="list" allowBlank="1" showInputMessage="1" showErrorMessage="1" sqref="A3:A9 A140:A154 A14:A20 A37:A43 A25:A32 A60:A65 A70:A75 A80:A85 A48:A55 A90:A95 A100:A105 A121:A135 A110:A116" xr:uid="{00000000-0002-0000-0700-000002000000}">
      <formula1>lstTasks</formula1>
    </dataValidation>
  </dataValidations>
  <hyperlinks>
    <hyperlink ref="D5" r:id="rId1" xr:uid="{00000000-0004-0000-07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David Dieperink</cp:lastModifiedBy>
  <cp:revision/>
  <dcterms:created xsi:type="dcterms:W3CDTF">1996-10-21T11:03:58Z</dcterms:created>
  <dcterms:modified xsi:type="dcterms:W3CDTF">2021-11-20T12:27:01Z</dcterms:modified>
  <cp:category/>
  <cp:contentStatus/>
</cp:coreProperties>
</file>