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ctiveX/activeX2.xml" ContentType="application/vnd.ms-office.activeX+xml"/>
  <Override PartName="/xl/activeX/activeX3.xml" ContentType="application/vnd.ms-office.activeX+xml"/>
  <Override PartName="/xl/activeX/activeX1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2.bin" ContentType="application/vnd.ms-office.activeX"/>
  <Override PartName="/xl/activeX/activeX3.bin" ContentType="application/vnd.ms-office.activeX"/>
  <Override PartName="/xl/activeX/activeX1.bin" ContentType="application/vnd.ms-office.activeX"/>
  <Override PartName="/xl/activeX/activeX4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7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19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ETML\CFC\Pratique\Projets\P-GesProj2\Documentation\Journaux_Travail\"/>
    </mc:Choice>
  </mc:AlternateContent>
  <xr:revisionPtr revIDLastSave="0" documentId="11_F0F7A56038152FF6910927E6FB1FAF16B8A405CA" xr6:coauthVersionLast="47" xr6:coauthVersionMax="47" xr10:uidLastSave="{00000000-0000-0000-0000-000000000000}"/>
  <bookViews>
    <workbookView xWindow="1335" yWindow="1635" windowWidth="24135" windowHeight="13875" firstSheet="7" activeTab="7" xr2:uid="{00000000-000D-0000-FFFF-FFFF00000000}"/>
  </bookViews>
  <sheets>
    <sheet name="Donnees" sheetId="7" r:id="rId1"/>
    <sheet name="Diagramme" sheetId="161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62" r:id="rId6"/>
    <sheet name="achievementWeek" sheetId="154" state="hidden" r:id="rId7"/>
    <sheet name="JNLTRAV" sheetId="163" r:id="rId8"/>
  </sheets>
  <definedNames>
    <definedName name="datDateBegin">Donnees!$C$9</definedName>
    <definedName name="ListTasks">Diagramme!$B$3:$B$24</definedName>
    <definedName name="lstTasks">Donnees!$C$20:$C$45</definedName>
    <definedName name="NbLessons">Diagramme!$C$3:$C$24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JNLTRAV!$A$1:$D$11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163" l="1"/>
  <c r="D12" i="163" s="1"/>
  <c r="D31" i="163" s="1"/>
  <c r="D50" i="163" s="1"/>
  <c r="D69" i="163" s="1"/>
  <c r="D88" i="163" s="1"/>
  <c r="D107" i="163" s="1"/>
  <c r="D126" i="163" s="1"/>
  <c r="D145" i="163" s="1"/>
  <c r="D164" i="163" s="1"/>
  <c r="D183" i="163" s="1"/>
  <c r="D202" i="163" s="1"/>
  <c r="D221" i="163" s="1"/>
  <c r="B238" i="163"/>
  <c r="B219" i="163"/>
  <c r="B200" i="163"/>
  <c r="B181" i="163"/>
  <c r="B162" i="163"/>
  <c r="B143" i="163"/>
  <c r="B124" i="163"/>
  <c r="B105" i="163"/>
  <c r="B86" i="163"/>
  <c r="B67" i="163"/>
  <c r="B48" i="163"/>
  <c r="B29" i="163"/>
  <c r="B10" i="163"/>
  <c r="B181" i="162"/>
  <c r="B167" i="162"/>
  <c r="B153" i="162"/>
  <c r="B139" i="162"/>
  <c r="B125" i="162"/>
  <c r="B111" i="162"/>
  <c r="B97" i="162"/>
  <c r="B83" i="162"/>
  <c r="B69" i="162"/>
  <c r="B55" i="162"/>
  <c r="B41" i="162"/>
  <c r="B27" i="162"/>
  <c r="B13" i="162"/>
  <c r="B23" i="161"/>
  <c r="B21" i="161"/>
  <c r="B19" i="161"/>
  <c r="B17" i="161"/>
  <c r="B15" i="161"/>
  <c r="B13" i="161"/>
  <c r="B11" i="161"/>
  <c r="B9" i="161"/>
  <c r="B7" i="161"/>
  <c r="B5" i="161"/>
  <c r="C26" i="161"/>
  <c r="C25" i="161"/>
  <c r="B18" i="154" l="1"/>
  <c r="B13" i="11" l="1"/>
</calcChain>
</file>

<file path=xl/sharedStrings.xml><?xml version="1.0" encoding="utf-8"?>
<sst xmlns="http://schemas.openxmlformats.org/spreadsheetml/2006/main" count="304" uniqueCount="75">
  <si>
    <t>Module :</t>
  </si>
  <si>
    <t>P_GesProj2</t>
  </si>
  <si>
    <t>Prénom - nom :</t>
  </si>
  <si>
    <t>Alexis Rojas</t>
  </si>
  <si>
    <t>Classe :</t>
  </si>
  <si>
    <t>CID2A</t>
  </si>
  <si>
    <t>Lieu :</t>
  </si>
  <si>
    <t>ETML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</si>
  <si>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</si>
  <si>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</si>
  <si>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</si>
  <si>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</si>
  <si>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</si>
  <si>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</si>
  <si>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</si>
  <si>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</si>
  <si>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</si>
  <si>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Lecture du CDC</t>
  </si>
  <si>
    <t>Répartition des tâches</t>
  </si>
  <si>
    <t>Collecte de données</t>
  </si>
  <si>
    <t>Documentation</t>
  </si>
  <si>
    <t>Modélisation de la base de données (MCD, MLD, MPD)</t>
  </si>
  <si>
    <t>Importation des données</t>
  </si>
  <si>
    <t>Requêtes SQL</t>
  </si>
  <si>
    <t>Création du site web</t>
  </si>
  <si>
    <t>Planification du projet</t>
  </si>
  <si>
    <t>Journal de travail</t>
  </si>
  <si>
    <t>MySql</t>
  </si>
  <si>
    <t>Tâches - objectifs</t>
  </si>
  <si>
    <t>Nb 1/4 heure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</si>
  <si>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</si>
  <si>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</si>
  <si>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</si>
  <si>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</si>
  <si>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</si>
  <si>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</si>
  <si>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</si>
  <si>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</si>
  <si>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</si>
  <si>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</si>
  <si>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</si>
  <si>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</si>
  <si>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</si>
  <si>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</si>
  <si>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</si>
  <si>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</si>
  <si>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</si>
  <si>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</si>
  <si>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</si>
  <si>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</si>
  <si>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</si>
  <si>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Lecture du CDC + réfléchir à des idées</t>
  </si>
  <si>
    <t>Répartition des tâches dans le groupe</t>
  </si>
  <si>
    <t>Collecte de données sur les différents téléphones</t>
  </si>
  <si>
    <t>Création et remplissage du journal de travail</t>
  </si>
  <si>
    <t>Max. 12</t>
  </si>
  <si>
    <t>STOP</t>
  </si>
  <si>
    <t>Début:</t>
  </si>
  <si>
    <t>Lecture du CDC + analyse des tâches</t>
  </si>
  <si>
    <t>Répartition des tâches au sein du groupe, et réfléxion sur comment les effectuer</t>
  </si>
  <si>
    <t xml:space="preserve">Collecte des données sur différent type de téléphone --&gt; Objectif terminé ! </t>
  </si>
  <si>
    <t>Site utilisé</t>
  </si>
  <si>
    <t>Création + remplissage du journal de travail pour la semaine 1</t>
  </si>
  <si>
    <t>Analyse organisation du site web</t>
  </si>
  <si>
    <t>Analyse de la modélisation de la base de données en groupe (Création du MCD sur DBMain, définition des rélations, types de données) [MCD, MLD, MPD Terminé]</t>
  </si>
  <si>
    <t>Réalisation du côté front du site web (Création de l'arborescence du répertoire, html+css des deux pages) [En progrès]</t>
  </si>
  <si>
    <t>Continuation de la création du site web [Page d'accueil terminé + page de téléphones en construction]</t>
  </si>
  <si>
    <t>Création fichier config.php pour la connexion du site avec la base de données + tests de requêtes sur la page de téléphones [Reussi]</t>
  </si>
  <si>
    <t>Commandes pour la création des utilisateurs + les autorisations sur le mode console MySQL</t>
  </si>
  <si>
    <t>Analyse pour la création de requêtes avec des jointures + tests sur PhpMyAdmin</t>
  </si>
  <si>
    <t>Rédaction journal de travail semainne 3</t>
  </si>
  <si>
    <t>Création des réquêtes SQL gestion liste de clients avec les smartphones qui leur ont été vendus (INNER JOIN, ORDER BY, COUNT)[Terminé]</t>
  </si>
  <si>
    <t>Implémentation des requetes sur le site web (PHP) [Tests, en progrès]</t>
  </si>
  <si>
    <t>Implémentation des rêquetes SQL sur le site web avec Stefan. (Tests php, variables, création de checkbox pour filtrer les téléphones par marque et par Os.)</t>
  </si>
  <si>
    <t>Remplissage journal de travail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</si>
</sst>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 applyAlignment="1" applyProtection="1"/>
    <xf numFmtId="0" fontId="0" fillId="7" borderId="19" xfId="0" applyFill="1" applyBorder="1" applyAlignment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4273" name="btnImportPlanification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5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6321" name="btnImportRealisation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7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gsmarena.com/" TargetMode="External"/><Relationship Id="rId6" Type="http://schemas.openxmlformats.org/officeDocument/2006/relationships/image" Target="../media/image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C31" sqref="C31"/>
    </sheetView>
  </sheetViews>
  <sheetFormatPr defaultColWidth="11.5703125" defaultRowHeight="13.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>
      <c r="A1" s="55"/>
      <c r="B1" s="56"/>
      <c r="C1" s="56"/>
      <c r="D1" s="56"/>
      <c r="E1" s="56"/>
      <c r="F1" s="56"/>
      <c r="G1" s="57"/>
    </row>
    <row r="2" spans="1:7" ht="14.25" thickBot="1">
      <c r="A2" s="59"/>
      <c r="B2" s="60"/>
      <c r="C2" s="60"/>
      <c r="D2" s="60"/>
      <c r="E2" s="60"/>
      <c r="F2" s="60"/>
      <c r="G2" s="61"/>
    </row>
    <row r="3" spans="1:7" ht="20.25">
      <c r="A3" s="59"/>
      <c r="B3" s="62" t="s">
        <v>0</v>
      </c>
      <c r="C3" s="63" t="s">
        <v>1</v>
      </c>
      <c r="D3" s="60"/>
      <c r="E3" s="60"/>
      <c r="F3" s="60"/>
      <c r="G3" s="61"/>
    </row>
    <row r="4" spans="1:7" ht="20.25">
      <c r="A4" s="59"/>
      <c r="B4" s="64" t="s">
        <v>2</v>
      </c>
      <c r="C4" s="65" t="s">
        <v>3</v>
      </c>
      <c r="D4" s="60"/>
      <c r="E4" s="60"/>
      <c r="F4" s="60"/>
      <c r="G4" s="61"/>
    </row>
    <row r="5" spans="1:7" ht="20.25">
      <c r="A5" s="59"/>
      <c r="B5" s="64" t="s">
        <v>4</v>
      </c>
      <c r="C5" s="65" t="s">
        <v>5</v>
      </c>
      <c r="D5" s="60"/>
      <c r="E5" s="60"/>
      <c r="F5" s="60"/>
      <c r="G5" s="61"/>
    </row>
    <row r="6" spans="1:7" ht="21" thickBot="1">
      <c r="A6" s="59"/>
      <c r="B6" s="66" t="s">
        <v>6</v>
      </c>
      <c r="C6" s="67" t="s">
        <v>7</v>
      </c>
      <c r="D6" s="60"/>
      <c r="E6" s="60"/>
      <c r="F6" s="60"/>
      <c r="G6" s="61"/>
    </row>
    <row r="7" spans="1:7">
      <c r="A7" s="59"/>
      <c r="B7" s="60"/>
      <c r="C7" s="60"/>
      <c r="D7" s="60"/>
      <c r="E7" s="60"/>
      <c r="F7" s="60"/>
      <c r="G7" s="61"/>
    </row>
    <row r="8" spans="1:7" ht="14.25" thickBot="1">
      <c r="A8" s="59"/>
      <c r="B8" s="60"/>
      <c r="C8" s="60"/>
      <c r="D8" s="60"/>
      <c r="E8" s="60"/>
      <c r="F8" s="60"/>
      <c r="G8" s="61"/>
    </row>
    <row r="9" spans="1:7" ht="20.25">
      <c r="A9" s="59"/>
      <c r="B9" s="62" t="s">
        <v>8</v>
      </c>
      <c r="C9" s="68">
        <v>44435</v>
      </c>
      <c r="D9" s="60"/>
      <c r="E9" s="60"/>
      <c r="F9" s="60"/>
      <c r="G9" s="61"/>
    </row>
    <row r="10" spans="1:7" ht="20.25">
      <c r="A10" s="59"/>
      <c r="B10" s="69" t="s">
        <v>9</v>
      </c>
      <c r="C10" s="70">
        <v>44547</v>
      </c>
      <c r="D10" s="60"/>
      <c r="E10" s="60"/>
      <c r="F10" s="60"/>
      <c r="G10" s="61"/>
    </row>
    <row r="11" spans="1:7" ht="20.25">
      <c r="A11" s="59"/>
      <c r="B11" s="69" t="s">
        <v>10</v>
      </c>
      <c r="C11" s="71">
        <v>13</v>
      </c>
      <c r="D11" s="60"/>
      <c r="E11" s="60"/>
      <c r="F11" s="60"/>
      <c r="G11" s="61"/>
    </row>
    <row r="12" spans="1:7" ht="2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>
      <c r="A14" s="59"/>
      <c r="B14" s="73"/>
      <c r="C14" s="74" t="s">
        <v>13</v>
      </c>
      <c r="D14" s="60"/>
      <c r="E14" s="60"/>
      <c r="F14" s="60"/>
      <c r="G14" s="61"/>
    </row>
    <row r="15" spans="1:7">
      <c r="A15" s="59"/>
      <c r="B15" s="60"/>
      <c r="C15" s="60"/>
      <c r="D15" s="60"/>
      <c r="E15" s="60"/>
      <c r="F15" s="60"/>
      <c r="G15" s="61"/>
    </row>
    <row r="16" spans="1:7" ht="14.25" thickBot="1">
      <c r="A16" s="75"/>
      <c r="B16" s="76"/>
      <c r="C16" s="76"/>
      <c r="D16" s="76"/>
      <c r="E16" s="76"/>
      <c r="F16" s="76"/>
      <c r="G16" s="77"/>
    </row>
    <row r="17" spans="1:13">
      <c r="A17" s="78"/>
      <c r="B17" s="56"/>
      <c r="C17" s="56"/>
      <c r="D17" s="56"/>
      <c r="E17" s="56"/>
      <c r="F17" s="56"/>
      <c r="G17" s="57"/>
    </row>
    <row r="18" spans="1:13" ht="14.25" thickBot="1">
      <c r="A18" s="79"/>
      <c r="B18" s="60"/>
      <c r="C18" s="60"/>
      <c r="D18" s="60"/>
      <c r="E18" s="60"/>
      <c r="F18" s="60"/>
      <c r="G18" s="61"/>
    </row>
    <row r="19" spans="1:13" ht="21" thickBot="1">
      <c r="A19" s="79"/>
      <c r="B19" s="116" t="s">
        <v>14</v>
      </c>
      <c r="C19" s="117"/>
      <c r="D19" s="60"/>
      <c r="E19" s="60"/>
      <c r="F19" s="60"/>
      <c r="G19" s="61"/>
    </row>
    <row r="20" spans="1:13" ht="20.25">
      <c r="A20" s="79"/>
      <c r="B20" s="80" t="s">
        <v>15</v>
      </c>
      <c r="C20" s="81" t="s">
        <v>16</v>
      </c>
      <c r="D20" s="60"/>
      <c r="E20" s="60"/>
      <c r="F20" s="60"/>
      <c r="G20" s="61"/>
    </row>
    <row r="21" spans="1:13" ht="20.25">
      <c r="A21" s="79"/>
      <c r="B21" s="80">
        <v>1</v>
      </c>
      <c r="C21" s="70" t="s">
        <v>17</v>
      </c>
      <c r="D21" s="60"/>
      <c r="E21" s="60"/>
      <c r="F21" s="60"/>
      <c r="G21" s="61"/>
    </row>
    <row r="22" spans="1:13" ht="20.25">
      <c r="A22" s="79"/>
      <c r="B22" s="80">
        <v>2</v>
      </c>
      <c r="C22" s="71" t="s">
        <v>18</v>
      </c>
      <c r="D22" s="60"/>
      <c r="E22" s="60"/>
      <c r="F22" s="60"/>
      <c r="G22" s="61"/>
    </row>
    <row r="23" spans="1:13" ht="20.25">
      <c r="A23" s="79"/>
      <c r="B23" s="82">
        <v>3</v>
      </c>
      <c r="C23" s="71" t="s">
        <v>19</v>
      </c>
      <c r="D23" s="60"/>
      <c r="E23" s="60"/>
      <c r="F23" s="60"/>
      <c r="G23" s="61"/>
    </row>
    <row r="24" spans="1:13" ht="20.25">
      <c r="A24" s="79"/>
      <c r="B24" s="80">
        <v>4</v>
      </c>
      <c r="C24" s="71" t="s">
        <v>20</v>
      </c>
      <c r="D24" s="60"/>
      <c r="E24" s="60"/>
      <c r="F24" s="60"/>
      <c r="G24" s="61"/>
    </row>
    <row r="25" spans="1:13" ht="20.25">
      <c r="A25" s="79"/>
      <c r="B25" s="80">
        <v>5</v>
      </c>
      <c r="C25" s="71" t="s">
        <v>21</v>
      </c>
      <c r="D25" s="60"/>
      <c r="E25" s="60"/>
      <c r="F25" s="60"/>
      <c r="G25" s="61"/>
    </row>
    <row r="26" spans="1:13" ht="20.25">
      <c r="A26" s="79"/>
      <c r="B26" s="82">
        <v>6</v>
      </c>
      <c r="C26" s="71" t="s">
        <v>22</v>
      </c>
      <c r="D26" s="60"/>
      <c r="E26" s="60"/>
      <c r="F26" s="60"/>
      <c r="G26" s="61"/>
    </row>
    <row r="27" spans="1:13" ht="20.25">
      <c r="A27" s="79"/>
      <c r="B27" s="80">
        <v>7</v>
      </c>
      <c r="C27" s="71" t="s">
        <v>23</v>
      </c>
      <c r="D27" s="60"/>
      <c r="E27" s="60"/>
      <c r="F27" s="60"/>
      <c r="G27" s="61"/>
    </row>
    <row r="28" spans="1:13" ht="20.25">
      <c r="A28" s="79"/>
      <c r="B28" s="80">
        <v>8</v>
      </c>
      <c r="C28" s="72" t="s">
        <v>24</v>
      </c>
      <c r="D28" s="60"/>
      <c r="E28" s="60"/>
      <c r="F28" s="60"/>
      <c r="G28" s="61"/>
    </row>
    <row r="29" spans="1:13" ht="20.25">
      <c r="A29" s="79"/>
      <c r="B29" s="82">
        <v>9</v>
      </c>
      <c r="C29" s="72" t="s">
        <v>25</v>
      </c>
      <c r="D29" s="60"/>
      <c r="E29" s="60"/>
      <c r="F29" s="60"/>
      <c r="G29" s="61"/>
    </row>
    <row r="30" spans="1:13" ht="20.25">
      <c r="A30" s="79"/>
      <c r="B30" s="80">
        <v>10</v>
      </c>
      <c r="C30" s="71" t="s">
        <v>26</v>
      </c>
      <c r="D30" s="60"/>
      <c r="E30" s="60"/>
      <c r="F30" s="60"/>
      <c r="G30" s="61"/>
    </row>
    <row r="31" spans="1:13" ht="20.25">
      <c r="A31" s="79"/>
      <c r="B31" s="80">
        <v>11</v>
      </c>
      <c r="C31" s="71" t="s">
        <v>27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7"/>
  <dimension ref="A1:FC26"/>
  <sheetViews>
    <sheetView zoomScale="70" zoomScaleNormal="70" workbookViewId="0">
      <selection activeCell="B1" sqref="B1"/>
    </sheetView>
  </sheetViews>
  <sheetFormatPr defaultColWidth="1.5703125" defaultRowHeight="19.5" customHeight="1"/>
  <cols>
    <col min="1" max="1" width="17.85546875" style="90" customWidth="1"/>
    <col min="2" max="2" width="51.28515625" style="90" customWidth="1"/>
    <col min="3" max="3" width="19.42578125" style="90" customWidth="1"/>
    <col min="4" max="16384" width="1.5703125" style="90"/>
  </cols>
  <sheetData>
    <row r="1" spans="1:159" ht="14.25" thickBot="1">
      <c r="B1" s="91"/>
      <c r="C1" s="91"/>
    </row>
    <row r="2" spans="1:159" ht="42.75" customHeight="1" thickBot="1">
      <c r="A2" s="92"/>
      <c r="B2" s="23" t="s">
        <v>28</v>
      </c>
      <c r="C2" s="15" t="s">
        <v>29</v>
      </c>
      <c r="D2" s="118" t="s">
        <v>30</v>
      </c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20"/>
      <c r="P2" s="118" t="s">
        <v>31</v>
      </c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20"/>
      <c r="AB2" s="118" t="s">
        <v>32</v>
      </c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20"/>
      <c r="AN2" s="118" t="s">
        <v>33</v>
      </c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20"/>
      <c r="AZ2" s="118" t="s">
        <v>34</v>
      </c>
      <c r="BA2" s="119"/>
      <c r="BB2" s="119"/>
      <c r="BC2" s="119"/>
      <c r="BD2" s="119"/>
      <c r="BE2" s="119"/>
      <c r="BF2" s="119"/>
      <c r="BG2" s="119"/>
      <c r="BH2" s="119"/>
      <c r="BI2" s="119"/>
      <c r="BJ2" s="119"/>
      <c r="BK2" s="120"/>
      <c r="BL2" s="118" t="s">
        <v>35</v>
      </c>
      <c r="BM2" s="119"/>
      <c r="BN2" s="119"/>
      <c r="BO2" s="119"/>
      <c r="BP2" s="119"/>
      <c r="BQ2" s="119"/>
      <c r="BR2" s="119"/>
      <c r="BS2" s="119"/>
      <c r="BT2" s="119"/>
      <c r="BU2" s="119"/>
      <c r="BV2" s="119"/>
      <c r="BW2" s="120"/>
      <c r="BX2" s="118" t="s">
        <v>36</v>
      </c>
      <c r="BY2" s="119"/>
      <c r="BZ2" s="119"/>
      <c r="CA2" s="119"/>
      <c r="CB2" s="119"/>
      <c r="CC2" s="119"/>
      <c r="CD2" s="119"/>
      <c r="CE2" s="119"/>
      <c r="CF2" s="119"/>
      <c r="CG2" s="119"/>
      <c r="CH2" s="119"/>
      <c r="CI2" s="120"/>
      <c r="CJ2" s="118" t="s">
        <v>37</v>
      </c>
      <c r="CK2" s="119"/>
      <c r="CL2" s="119"/>
      <c r="CM2" s="119"/>
      <c r="CN2" s="119"/>
      <c r="CO2" s="119"/>
      <c r="CP2" s="119"/>
      <c r="CQ2" s="119"/>
      <c r="CR2" s="119"/>
      <c r="CS2" s="119"/>
      <c r="CT2" s="119"/>
      <c r="CU2" s="120"/>
      <c r="CV2" s="118" t="s">
        <v>38</v>
      </c>
      <c r="CW2" s="119"/>
      <c r="CX2" s="119"/>
      <c r="CY2" s="119"/>
      <c r="CZ2" s="119"/>
      <c r="DA2" s="119"/>
      <c r="DB2" s="119"/>
      <c r="DC2" s="119"/>
      <c r="DD2" s="119"/>
      <c r="DE2" s="119"/>
      <c r="DF2" s="119"/>
      <c r="DG2" s="120"/>
      <c r="DH2" s="118" t="s">
        <v>39</v>
      </c>
      <c r="DI2" s="119"/>
      <c r="DJ2" s="119"/>
      <c r="DK2" s="119"/>
      <c r="DL2" s="119"/>
      <c r="DM2" s="119"/>
      <c r="DN2" s="119"/>
      <c r="DO2" s="119"/>
      <c r="DP2" s="119"/>
      <c r="DQ2" s="119"/>
      <c r="DR2" s="119"/>
      <c r="DS2" s="120"/>
      <c r="DT2" s="118" t="s">
        <v>40</v>
      </c>
      <c r="DU2" s="119"/>
      <c r="DV2" s="119"/>
      <c r="DW2" s="119"/>
      <c r="DX2" s="119"/>
      <c r="DY2" s="119"/>
      <c r="DZ2" s="119"/>
      <c r="EA2" s="119"/>
      <c r="EB2" s="119"/>
      <c r="EC2" s="119"/>
      <c r="ED2" s="119"/>
      <c r="EE2" s="120"/>
      <c r="EF2" s="118" t="s">
        <v>41</v>
      </c>
      <c r="EG2" s="119"/>
      <c r="EH2" s="119"/>
      <c r="EI2" s="119"/>
      <c r="EJ2" s="119"/>
      <c r="EK2" s="119"/>
      <c r="EL2" s="119"/>
      <c r="EM2" s="119"/>
      <c r="EN2" s="119"/>
      <c r="EO2" s="119"/>
      <c r="EP2" s="119"/>
      <c r="EQ2" s="120"/>
      <c r="ER2" s="118" t="s">
        <v>42</v>
      </c>
      <c r="ES2" s="119"/>
      <c r="ET2" s="119"/>
      <c r="EU2" s="119"/>
      <c r="EV2" s="119"/>
      <c r="EW2" s="119"/>
      <c r="EX2" s="119"/>
      <c r="EY2" s="119"/>
      <c r="EZ2" s="119"/>
      <c r="FA2" s="119"/>
      <c r="FB2" s="119"/>
      <c r="FC2" s="120"/>
    </row>
    <row r="3" spans="1:159" ht="19.5" customHeight="1">
      <c r="A3" s="92"/>
      <c r="B3" s="123" t="s">
        <v>16</v>
      </c>
      <c r="C3" s="16">
        <v>0</v>
      </c>
      <c r="D3" s="93"/>
      <c r="E3" s="94"/>
      <c r="F3" s="95"/>
      <c r="G3" s="96"/>
      <c r="H3" s="94"/>
      <c r="I3" s="95"/>
      <c r="J3" s="96"/>
      <c r="K3" s="94"/>
      <c r="L3" s="95"/>
      <c r="M3" s="96"/>
      <c r="N3" s="94"/>
      <c r="O3" s="97"/>
      <c r="P3" s="93"/>
      <c r="Q3" s="94"/>
      <c r="R3" s="95"/>
      <c r="S3" s="96"/>
      <c r="T3" s="94"/>
      <c r="U3" s="95"/>
      <c r="V3" s="96"/>
      <c r="W3" s="94"/>
      <c r="X3" s="95"/>
      <c r="Y3" s="96"/>
      <c r="Z3" s="94"/>
      <c r="AA3" s="97"/>
      <c r="AB3" s="93"/>
      <c r="AC3" s="94"/>
      <c r="AD3" s="95"/>
      <c r="AE3" s="96"/>
      <c r="AF3" s="94"/>
      <c r="AG3" s="95"/>
      <c r="AH3" s="96"/>
      <c r="AI3" s="94"/>
      <c r="AJ3" s="95"/>
      <c r="AK3" s="96"/>
      <c r="AL3" s="94"/>
      <c r="AM3" s="97"/>
      <c r="AN3" s="93"/>
      <c r="AO3" s="94"/>
      <c r="AP3" s="95"/>
      <c r="AQ3" s="96"/>
      <c r="AR3" s="94"/>
      <c r="AS3" s="95"/>
      <c r="AT3" s="96"/>
      <c r="AU3" s="94"/>
      <c r="AV3" s="95"/>
      <c r="AW3" s="96"/>
      <c r="AX3" s="94"/>
      <c r="AY3" s="97"/>
      <c r="AZ3" s="93"/>
      <c r="BA3" s="94"/>
      <c r="BB3" s="95"/>
      <c r="BC3" s="96"/>
      <c r="BD3" s="94"/>
      <c r="BE3" s="95"/>
      <c r="BF3" s="96"/>
      <c r="BG3" s="94"/>
      <c r="BH3" s="95"/>
      <c r="BI3" s="96"/>
      <c r="BJ3" s="94"/>
      <c r="BK3" s="97"/>
      <c r="BL3" s="93"/>
      <c r="BM3" s="94"/>
      <c r="BN3" s="95"/>
      <c r="BO3" s="96"/>
      <c r="BP3" s="94"/>
      <c r="BQ3" s="95"/>
      <c r="BR3" s="96"/>
      <c r="BS3" s="94"/>
      <c r="BT3" s="95"/>
      <c r="BU3" s="96"/>
      <c r="BV3" s="94"/>
      <c r="BW3" s="97"/>
      <c r="BX3" s="93"/>
      <c r="BY3" s="94"/>
      <c r="BZ3" s="95"/>
      <c r="CA3" s="96"/>
      <c r="CB3" s="94"/>
      <c r="CC3" s="95"/>
      <c r="CD3" s="96"/>
      <c r="CE3" s="94"/>
      <c r="CF3" s="95"/>
      <c r="CG3" s="96"/>
      <c r="CH3" s="94"/>
      <c r="CI3" s="97"/>
      <c r="CJ3" s="93"/>
      <c r="CK3" s="94"/>
      <c r="CL3" s="95"/>
      <c r="CM3" s="96"/>
      <c r="CN3" s="94"/>
      <c r="CO3" s="95"/>
      <c r="CP3" s="96"/>
      <c r="CQ3" s="94"/>
      <c r="CR3" s="95"/>
      <c r="CS3" s="96"/>
      <c r="CT3" s="94"/>
      <c r="CU3" s="97"/>
      <c r="CV3" s="93"/>
      <c r="CW3" s="94"/>
      <c r="CX3" s="95"/>
      <c r="CY3" s="96"/>
      <c r="CZ3" s="94"/>
      <c r="DA3" s="95"/>
      <c r="DB3" s="96"/>
      <c r="DC3" s="94"/>
      <c r="DD3" s="95"/>
      <c r="DE3" s="96"/>
      <c r="DF3" s="94"/>
      <c r="DG3" s="97"/>
      <c r="DH3" s="93"/>
      <c r="DI3" s="94"/>
      <c r="DJ3" s="95"/>
      <c r="DK3" s="96"/>
      <c r="DL3" s="94"/>
      <c r="DM3" s="95"/>
      <c r="DN3" s="96"/>
      <c r="DO3" s="94"/>
      <c r="DP3" s="95"/>
      <c r="DQ3" s="96"/>
      <c r="DR3" s="94"/>
      <c r="DS3" s="97"/>
      <c r="DT3" s="93"/>
      <c r="DU3" s="94"/>
      <c r="DV3" s="95"/>
      <c r="DW3" s="96"/>
      <c r="DX3" s="94"/>
      <c r="DY3" s="95"/>
      <c r="DZ3" s="96"/>
      <c r="EA3" s="94"/>
      <c r="EB3" s="95"/>
      <c r="EC3" s="96"/>
      <c r="ED3" s="94"/>
      <c r="EE3" s="97"/>
      <c r="EF3" s="93"/>
      <c r="EG3" s="94"/>
      <c r="EH3" s="95"/>
      <c r="EI3" s="96"/>
      <c r="EJ3" s="94"/>
      <c r="EK3" s="95"/>
      <c r="EL3" s="96"/>
      <c r="EM3" s="94"/>
      <c r="EN3" s="95"/>
      <c r="EO3" s="96"/>
      <c r="EP3" s="94"/>
      <c r="EQ3" s="97"/>
      <c r="ER3" s="93"/>
      <c r="ES3" s="94"/>
      <c r="ET3" s="95"/>
      <c r="EU3" s="96"/>
      <c r="EV3" s="94"/>
      <c r="EW3" s="95"/>
      <c r="EX3" s="96"/>
      <c r="EY3" s="94"/>
      <c r="EZ3" s="95"/>
      <c r="FA3" s="96"/>
      <c r="FB3" s="94"/>
      <c r="FC3" s="97"/>
    </row>
    <row r="4" spans="1:159" ht="19.5" customHeight="1" thickBot="1">
      <c r="A4" s="92"/>
      <c r="B4" s="125"/>
      <c r="C4" s="22">
        <v>0</v>
      </c>
      <c r="D4" s="98"/>
      <c r="E4" s="99"/>
      <c r="F4" s="100"/>
      <c r="G4" s="101"/>
      <c r="H4" s="99"/>
      <c r="I4" s="100"/>
      <c r="J4" s="101"/>
      <c r="K4" s="99"/>
      <c r="L4" s="100"/>
      <c r="M4" s="101"/>
      <c r="N4" s="99"/>
      <c r="O4" s="102"/>
      <c r="P4" s="98"/>
      <c r="Q4" s="99"/>
      <c r="R4" s="100"/>
      <c r="S4" s="101"/>
      <c r="T4" s="99"/>
      <c r="U4" s="100"/>
      <c r="V4" s="101"/>
      <c r="W4" s="99"/>
      <c r="X4" s="100"/>
      <c r="Y4" s="101"/>
      <c r="Z4" s="99"/>
      <c r="AA4" s="102"/>
      <c r="AB4" s="98"/>
      <c r="AC4" s="99"/>
      <c r="AD4" s="100"/>
      <c r="AE4" s="101"/>
      <c r="AF4" s="99"/>
      <c r="AG4" s="100"/>
      <c r="AH4" s="101"/>
      <c r="AI4" s="99"/>
      <c r="AJ4" s="100"/>
      <c r="AK4" s="101"/>
      <c r="AL4" s="99"/>
      <c r="AM4" s="102"/>
      <c r="AN4" s="98"/>
      <c r="AO4" s="99"/>
      <c r="AP4" s="100"/>
      <c r="AQ4" s="101"/>
      <c r="AR4" s="99"/>
      <c r="AS4" s="100"/>
      <c r="AT4" s="101"/>
      <c r="AU4" s="99"/>
      <c r="AV4" s="100"/>
      <c r="AW4" s="101"/>
      <c r="AX4" s="99"/>
      <c r="AY4" s="102"/>
      <c r="AZ4" s="98"/>
      <c r="BA4" s="99"/>
      <c r="BB4" s="100"/>
      <c r="BC4" s="101"/>
      <c r="BD4" s="99"/>
      <c r="BE4" s="100"/>
      <c r="BF4" s="101"/>
      <c r="BG4" s="99"/>
      <c r="BH4" s="100"/>
      <c r="BI4" s="101"/>
      <c r="BJ4" s="99"/>
      <c r="BK4" s="102"/>
      <c r="BL4" s="98"/>
      <c r="BM4" s="99"/>
      <c r="BN4" s="100"/>
      <c r="BO4" s="101"/>
      <c r="BP4" s="99"/>
      <c r="BQ4" s="100"/>
      <c r="BR4" s="101"/>
      <c r="BS4" s="99"/>
      <c r="BT4" s="100"/>
      <c r="BU4" s="101"/>
      <c r="BV4" s="99"/>
      <c r="BW4" s="102"/>
      <c r="BX4" s="98"/>
      <c r="BY4" s="99"/>
      <c r="BZ4" s="100"/>
      <c r="CA4" s="101"/>
      <c r="CB4" s="99"/>
      <c r="CC4" s="100"/>
      <c r="CD4" s="101"/>
      <c r="CE4" s="99"/>
      <c r="CF4" s="100"/>
      <c r="CG4" s="101"/>
      <c r="CH4" s="99"/>
      <c r="CI4" s="102"/>
      <c r="CJ4" s="98"/>
      <c r="CK4" s="99"/>
      <c r="CL4" s="100"/>
      <c r="CM4" s="101"/>
      <c r="CN4" s="99"/>
      <c r="CO4" s="100"/>
      <c r="CP4" s="101"/>
      <c r="CQ4" s="99"/>
      <c r="CR4" s="100"/>
      <c r="CS4" s="101"/>
      <c r="CT4" s="99"/>
      <c r="CU4" s="102"/>
      <c r="CV4" s="98"/>
      <c r="CW4" s="99"/>
      <c r="CX4" s="100"/>
      <c r="CY4" s="101"/>
      <c r="CZ4" s="99"/>
      <c r="DA4" s="100"/>
      <c r="DB4" s="101"/>
      <c r="DC4" s="99"/>
      <c r="DD4" s="100"/>
      <c r="DE4" s="101"/>
      <c r="DF4" s="99"/>
      <c r="DG4" s="102"/>
      <c r="DH4" s="98"/>
      <c r="DI4" s="99"/>
      <c r="DJ4" s="100"/>
      <c r="DK4" s="101"/>
      <c r="DL4" s="99"/>
      <c r="DM4" s="100"/>
      <c r="DN4" s="101"/>
      <c r="DO4" s="99"/>
      <c r="DP4" s="100"/>
      <c r="DQ4" s="101"/>
      <c r="DR4" s="99"/>
      <c r="DS4" s="102"/>
      <c r="DT4" s="98"/>
      <c r="DU4" s="99"/>
      <c r="DV4" s="100"/>
      <c r="DW4" s="101"/>
      <c r="DX4" s="99"/>
      <c r="DY4" s="100"/>
      <c r="DZ4" s="101"/>
      <c r="EA4" s="99"/>
      <c r="EB4" s="100"/>
      <c r="EC4" s="101"/>
      <c r="ED4" s="99"/>
      <c r="EE4" s="102"/>
      <c r="EF4" s="98"/>
      <c r="EG4" s="99"/>
      <c r="EH4" s="100"/>
      <c r="EI4" s="101"/>
      <c r="EJ4" s="99"/>
      <c r="EK4" s="100"/>
      <c r="EL4" s="101"/>
      <c r="EM4" s="99"/>
      <c r="EN4" s="100"/>
      <c r="EO4" s="101"/>
      <c r="EP4" s="99"/>
      <c r="EQ4" s="102"/>
      <c r="ER4" s="98"/>
      <c r="ES4" s="99"/>
      <c r="ET4" s="100"/>
      <c r="EU4" s="101"/>
      <c r="EV4" s="99"/>
      <c r="EW4" s="100"/>
      <c r="EX4" s="101"/>
      <c r="EY4" s="99"/>
      <c r="EZ4" s="100"/>
      <c r="FA4" s="101"/>
      <c r="FB4" s="99"/>
      <c r="FC4" s="102"/>
    </row>
    <row r="5" spans="1:159" ht="19.5" customHeight="1">
      <c r="B5" s="124" t="str">
        <f>Donnees!$C$21</f>
        <v>Lecture du CDC</v>
      </c>
      <c r="C5" s="103">
        <v>0</v>
      </c>
      <c r="D5" s="93"/>
      <c r="E5" s="94"/>
      <c r="F5" s="95"/>
      <c r="G5" s="96"/>
      <c r="H5" s="94"/>
      <c r="I5" s="95"/>
      <c r="J5" s="96"/>
      <c r="K5" s="94"/>
      <c r="L5" s="95"/>
      <c r="M5" s="96"/>
      <c r="N5" s="94"/>
      <c r="O5" s="97"/>
      <c r="P5" s="93"/>
      <c r="Q5" s="94"/>
      <c r="R5" s="95"/>
      <c r="S5" s="96"/>
      <c r="T5" s="94"/>
      <c r="U5" s="95"/>
      <c r="V5" s="96"/>
      <c r="W5" s="94"/>
      <c r="X5" s="95"/>
      <c r="Y5" s="96"/>
      <c r="Z5" s="94"/>
      <c r="AA5" s="97"/>
      <c r="AB5" s="93"/>
      <c r="AC5" s="94"/>
      <c r="AD5" s="95"/>
      <c r="AE5" s="96"/>
      <c r="AF5" s="94"/>
      <c r="AG5" s="95"/>
      <c r="AH5" s="96"/>
      <c r="AI5" s="94"/>
      <c r="AJ5" s="95"/>
      <c r="AK5" s="96"/>
      <c r="AL5" s="94"/>
      <c r="AM5" s="97"/>
      <c r="AN5" s="93"/>
      <c r="AO5" s="94"/>
      <c r="AP5" s="95"/>
      <c r="AQ5" s="96"/>
      <c r="AR5" s="94"/>
      <c r="AS5" s="95"/>
      <c r="AT5" s="96"/>
      <c r="AU5" s="94"/>
      <c r="AV5" s="95"/>
      <c r="AW5" s="96"/>
      <c r="AX5" s="94"/>
      <c r="AY5" s="97"/>
      <c r="AZ5" s="93"/>
      <c r="BA5" s="94"/>
      <c r="BB5" s="95"/>
      <c r="BC5" s="96"/>
      <c r="BD5" s="94"/>
      <c r="BE5" s="95"/>
      <c r="BF5" s="96"/>
      <c r="BG5" s="94"/>
      <c r="BH5" s="95"/>
      <c r="BI5" s="96"/>
      <c r="BJ5" s="94"/>
      <c r="BK5" s="97"/>
      <c r="BL5" s="93"/>
      <c r="BM5" s="94"/>
      <c r="BN5" s="95"/>
      <c r="BO5" s="96"/>
      <c r="BP5" s="94"/>
      <c r="BQ5" s="95"/>
      <c r="BR5" s="96"/>
      <c r="BS5" s="94"/>
      <c r="BT5" s="95"/>
      <c r="BU5" s="96"/>
      <c r="BV5" s="94"/>
      <c r="BW5" s="97"/>
      <c r="BX5" s="93"/>
      <c r="BY5" s="94"/>
      <c r="BZ5" s="95"/>
      <c r="CA5" s="96"/>
      <c r="CB5" s="94"/>
      <c r="CC5" s="95"/>
      <c r="CD5" s="96"/>
      <c r="CE5" s="94"/>
      <c r="CF5" s="95"/>
      <c r="CG5" s="96"/>
      <c r="CH5" s="94"/>
      <c r="CI5" s="97"/>
      <c r="CJ5" s="93"/>
      <c r="CK5" s="94"/>
      <c r="CL5" s="95"/>
      <c r="CM5" s="96"/>
      <c r="CN5" s="94"/>
      <c r="CO5" s="95"/>
      <c r="CP5" s="96"/>
      <c r="CQ5" s="94"/>
      <c r="CR5" s="95"/>
      <c r="CS5" s="96"/>
      <c r="CT5" s="94"/>
      <c r="CU5" s="97"/>
      <c r="CV5" s="93"/>
      <c r="CW5" s="94"/>
      <c r="CX5" s="95"/>
      <c r="CY5" s="96"/>
      <c r="CZ5" s="94"/>
      <c r="DA5" s="95"/>
      <c r="DB5" s="96"/>
      <c r="DC5" s="94"/>
      <c r="DD5" s="95"/>
      <c r="DE5" s="96"/>
      <c r="DF5" s="94"/>
      <c r="DG5" s="97"/>
      <c r="DH5" s="93"/>
      <c r="DI5" s="94"/>
      <c r="DJ5" s="95"/>
      <c r="DK5" s="96"/>
      <c r="DL5" s="94"/>
      <c r="DM5" s="95"/>
      <c r="DN5" s="96"/>
      <c r="DO5" s="94"/>
      <c r="DP5" s="95"/>
      <c r="DQ5" s="96"/>
      <c r="DR5" s="94"/>
      <c r="DS5" s="97"/>
      <c r="DT5" s="93"/>
      <c r="DU5" s="94"/>
      <c r="DV5" s="95"/>
      <c r="DW5" s="96"/>
      <c r="DX5" s="94"/>
      <c r="DY5" s="95"/>
      <c r="DZ5" s="96"/>
      <c r="EA5" s="94"/>
      <c r="EB5" s="95"/>
      <c r="EC5" s="96"/>
      <c r="ED5" s="94"/>
      <c r="EE5" s="97"/>
      <c r="EF5" s="93"/>
      <c r="EG5" s="94"/>
      <c r="EH5" s="95"/>
      <c r="EI5" s="96"/>
      <c r="EJ5" s="94"/>
      <c r="EK5" s="95"/>
      <c r="EL5" s="96"/>
      <c r="EM5" s="94"/>
      <c r="EN5" s="95"/>
      <c r="EO5" s="96"/>
      <c r="EP5" s="94"/>
      <c r="EQ5" s="97"/>
      <c r="ER5" s="93"/>
      <c r="ES5" s="94"/>
      <c r="ET5" s="95"/>
      <c r="EU5" s="96"/>
      <c r="EV5" s="94"/>
      <c r="EW5" s="95"/>
      <c r="EX5" s="96"/>
      <c r="EY5" s="94"/>
      <c r="EZ5" s="95"/>
      <c r="FA5" s="96"/>
      <c r="FB5" s="94"/>
      <c r="FC5" s="97"/>
    </row>
    <row r="6" spans="1:159" ht="19.5" customHeight="1" thickBot="1">
      <c r="B6" s="122"/>
      <c r="C6" s="104">
        <v>0</v>
      </c>
      <c r="D6" s="98"/>
      <c r="E6" s="99"/>
      <c r="F6" s="100"/>
      <c r="G6" s="101"/>
      <c r="H6" s="99"/>
      <c r="I6" s="100"/>
      <c r="J6" s="101"/>
      <c r="K6" s="99"/>
      <c r="L6" s="100"/>
      <c r="M6" s="101"/>
      <c r="N6" s="99"/>
      <c r="O6" s="102"/>
      <c r="P6" s="98"/>
      <c r="Q6" s="99"/>
      <c r="R6" s="100"/>
      <c r="S6" s="101"/>
      <c r="T6" s="99"/>
      <c r="U6" s="100"/>
      <c r="V6" s="101"/>
      <c r="W6" s="99"/>
      <c r="X6" s="100"/>
      <c r="Y6" s="101"/>
      <c r="Z6" s="99"/>
      <c r="AA6" s="102"/>
      <c r="AB6" s="98"/>
      <c r="AC6" s="99"/>
      <c r="AD6" s="100"/>
      <c r="AE6" s="101"/>
      <c r="AF6" s="99"/>
      <c r="AG6" s="100"/>
      <c r="AH6" s="101"/>
      <c r="AI6" s="99"/>
      <c r="AJ6" s="100"/>
      <c r="AK6" s="101"/>
      <c r="AL6" s="99"/>
      <c r="AM6" s="102"/>
      <c r="AN6" s="98"/>
      <c r="AO6" s="99"/>
      <c r="AP6" s="100"/>
      <c r="AQ6" s="101"/>
      <c r="AR6" s="99"/>
      <c r="AS6" s="100"/>
      <c r="AT6" s="101"/>
      <c r="AU6" s="99"/>
      <c r="AV6" s="100"/>
      <c r="AW6" s="101"/>
      <c r="AX6" s="99"/>
      <c r="AY6" s="102"/>
      <c r="AZ6" s="98"/>
      <c r="BA6" s="99"/>
      <c r="BB6" s="100"/>
      <c r="BC6" s="101"/>
      <c r="BD6" s="99"/>
      <c r="BE6" s="100"/>
      <c r="BF6" s="101"/>
      <c r="BG6" s="99"/>
      <c r="BH6" s="100"/>
      <c r="BI6" s="101"/>
      <c r="BJ6" s="99"/>
      <c r="BK6" s="102"/>
      <c r="BL6" s="98"/>
      <c r="BM6" s="99"/>
      <c r="BN6" s="100"/>
      <c r="BO6" s="101"/>
      <c r="BP6" s="99"/>
      <c r="BQ6" s="100"/>
      <c r="BR6" s="101"/>
      <c r="BS6" s="99"/>
      <c r="BT6" s="100"/>
      <c r="BU6" s="101"/>
      <c r="BV6" s="99"/>
      <c r="BW6" s="102"/>
      <c r="BX6" s="98"/>
      <c r="BY6" s="99"/>
      <c r="BZ6" s="100"/>
      <c r="CA6" s="101"/>
      <c r="CB6" s="99"/>
      <c r="CC6" s="100"/>
      <c r="CD6" s="101"/>
      <c r="CE6" s="99"/>
      <c r="CF6" s="100"/>
      <c r="CG6" s="101"/>
      <c r="CH6" s="99"/>
      <c r="CI6" s="102"/>
      <c r="CJ6" s="98"/>
      <c r="CK6" s="99"/>
      <c r="CL6" s="100"/>
      <c r="CM6" s="101"/>
      <c r="CN6" s="99"/>
      <c r="CO6" s="100"/>
      <c r="CP6" s="101"/>
      <c r="CQ6" s="99"/>
      <c r="CR6" s="100"/>
      <c r="CS6" s="101"/>
      <c r="CT6" s="99"/>
      <c r="CU6" s="102"/>
      <c r="CV6" s="98"/>
      <c r="CW6" s="99"/>
      <c r="CX6" s="100"/>
      <c r="CY6" s="101"/>
      <c r="CZ6" s="99"/>
      <c r="DA6" s="100"/>
      <c r="DB6" s="101"/>
      <c r="DC6" s="99"/>
      <c r="DD6" s="100"/>
      <c r="DE6" s="101"/>
      <c r="DF6" s="99"/>
      <c r="DG6" s="102"/>
      <c r="DH6" s="98"/>
      <c r="DI6" s="99"/>
      <c r="DJ6" s="100"/>
      <c r="DK6" s="101"/>
      <c r="DL6" s="99"/>
      <c r="DM6" s="100"/>
      <c r="DN6" s="101"/>
      <c r="DO6" s="99"/>
      <c r="DP6" s="100"/>
      <c r="DQ6" s="101"/>
      <c r="DR6" s="99"/>
      <c r="DS6" s="102"/>
      <c r="DT6" s="98"/>
      <c r="DU6" s="99"/>
      <c r="DV6" s="100"/>
      <c r="DW6" s="101"/>
      <c r="DX6" s="99"/>
      <c r="DY6" s="100"/>
      <c r="DZ6" s="101"/>
      <c r="EA6" s="99"/>
      <c r="EB6" s="100"/>
      <c r="EC6" s="101"/>
      <c r="ED6" s="99"/>
      <c r="EE6" s="102"/>
      <c r="EF6" s="98"/>
      <c r="EG6" s="99"/>
      <c r="EH6" s="100"/>
      <c r="EI6" s="101"/>
      <c r="EJ6" s="99"/>
      <c r="EK6" s="100"/>
      <c r="EL6" s="101"/>
      <c r="EM6" s="99"/>
      <c r="EN6" s="100"/>
      <c r="EO6" s="101"/>
      <c r="EP6" s="99"/>
      <c r="EQ6" s="102"/>
      <c r="ER6" s="98"/>
      <c r="ES6" s="99"/>
      <c r="ET6" s="100"/>
      <c r="EU6" s="101"/>
      <c r="EV6" s="99"/>
      <c r="EW6" s="100"/>
      <c r="EX6" s="101"/>
      <c r="EY6" s="99"/>
      <c r="EZ6" s="100"/>
      <c r="FA6" s="101"/>
      <c r="FB6" s="99"/>
      <c r="FC6" s="102"/>
    </row>
    <row r="7" spans="1:159" ht="19.5" customHeight="1">
      <c r="B7" s="121" t="str">
        <f>Donnees!$C$22</f>
        <v>Répartition des tâches</v>
      </c>
      <c r="C7" s="103">
        <v>0</v>
      </c>
      <c r="D7" s="93"/>
      <c r="E7" s="94"/>
      <c r="F7" s="95"/>
      <c r="G7" s="96"/>
      <c r="H7" s="94"/>
      <c r="I7" s="95"/>
      <c r="J7" s="96"/>
      <c r="K7" s="94"/>
      <c r="L7" s="95"/>
      <c r="M7" s="96"/>
      <c r="N7" s="94"/>
      <c r="O7" s="97"/>
      <c r="P7" s="93"/>
      <c r="Q7" s="94"/>
      <c r="R7" s="95"/>
      <c r="S7" s="96"/>
      <c r="T7" s="94"/>
      <c r="U7" s="95"/>
      <c r="V7" s="96"/>
      <c r="W7" s="94"/>
      <c r="X7" s="95"/>
      <c r="Y7" s="96"/>
      <c r="Z7" s="94"/>
      <c r="AA7" s="97"/>
      <c r="AB7" s="93"/>
      <c r="AC7" s="94"/>
      <c r="AD7" s="95"/>
      <c r="AE7" s="96"/>
      <c r="AF7" s="94"/>
      <c r="AG7" s="95"/>
      <c r="AH7" s="96"/>
      <c r="AI7" s="94"/>
      <c r="AJ7" s="95"/>
      <c r="AK7" s="96"/>
      <c r="AL7" s="94"/>
      <c r="AM7" s="97"/>
      <c r="AN7" s="93"/>
      <c r="AO7" s="94"/>
      <c r="AP7" s="95"/>
      <c r="AQ7" s="96"/>
      <c r="AR7" s="94"/>
      <c r="AS7" s="95"/>
      <c r="AT7" s="96"/>
      <c r="AU7" s="94"/>
      <c r="AV7" s="95"/>
      <c r="AW7" s="96"/>
      <c r="AX7" s="94"/>
      <c r="AY7" s="97"/>
      <c r="AZ7" s="93"/>
      <c r="BA7" s="94"/>
      <c r="BB7" s="95"/>
      <c r="BC7" s="96"/>
      <c r="BD7" s="94"/>
      <c r="BE7" s="95"/>
      <c r="BF7" s="96"/>
      <c r="BG7" s="94"/>
      <c r="BH7" s="95"/>
      <c r="BI7" s="96"/>
      <c r="BJ7" s="94"/>
      <c r="BK7" s="97"/>
      <c r="BL7" s="93"/>
      <c r="BM7" s="94"/>
      <c r="BN7" s="95"/>
      <c r="BO7" s="96"/>
      <c r="BP7" s="94"/>
      <c r="BQ7" s="95"/>
      <c r="BR7" s="96"/>
      <c r="BS7" s="94"/>
      <c r="BT7" s="95"/>
      <c r="BU7" s="96"/>
      <c r="BV7" s="94"/>
      <c r="BW7" s="97"/>
      <c r="BX7" s="93"/>
      <c r="BY7" s="94"/>
      <c r="BZ7" s="95"/>
      <c r="CA7" s="96"/>
      <c r="CB7" s="94"/>
      <c r="CC7" s="95"/>
      <c r="CD7" s="96"/>
      <c r="CE7" s="94"/>
      <c r="CF7" s="95"/>
      <c r="CG7" s="96"/>
      <c r="CH7" s="94"/>
      <c r="CI7" s="97"/>
      <c r="CJ7" s="93"/>
      <c r="CK7" s="94"/>
      <c r="CL7" s="95"/>
      <c r="CM7" s="96"/>
      <c r="CN7" s="94"/>
      <c r="CO7" s="95"/>
      <c r="CP7" s="96"/>
      <c r="CQ7" s="94"/>
      <c r="CR7" s="95"/>
      <c r="CS7" s="96"/>
      <c r="CT7" s="94"/>
      <c r="CU7" s="97"/>
      <c r="CV7" s="93"/>
      <c r="CW7" s="94"/>
      <c r="CX7" s="95"/>
      <c r="CY7" s="96"/>
      <c r="CZ7" s="94"/>
      <c r="DA7" s="95"/>
      <c r="DB7" s="96"/>
      <c r="DC7" s="94"/>
      <c r="DD7" s="95"/>
      <c r="DE7" s="96"/>
      <c r="DF7" s="94"/>
      <c r="DG7" s="97"/>
      <c r="DH7" s="93"/>
      <c r="DI7" s="94"/>
      <c r="DJ7" s="95"/>
      <c r="DK7" s="96"/>
      <c r="DL7" s="94"/>
      <c r="DM7" s="95"/>
      <c r="DN7" s="96"/>
      <c r="DO7" s="94"/>
      <c r="DP7" s="95"/>
      <c r="DQ7" s="96"/>
      <c r="DR7" s="94"/>
      <c r="DS7" s="97"/>
      <c r="DT7" s="93"/>
      <c r="DU7" s="94"/>
      <c r="DV7" s="95"/>
      <c r="DW7" s="96"/>
      <c r="DX7" s="94"/>
      <c r="DY7" s="95"/>
      <c r="DZ7" s="96"/>
      <c r="EA7" s="94"/>
      <c r="EB7" s="95"/>
      <c r="EC7" s="96"/>
      <c r="ED7" s="94"/>
      <c r="EE7" s="97"/>
      <c r="EF7" s="93"/>
      <c r="EG7" s="94"/>
      <c r="EH7" s="95"/>
      <c r="EI7" s="96"/>
      <c r="EJ7" s="94"/>
      <c r="EK7" s="95"/>
      <c r="EL7" s="96"/>
      <c r="EM7" s="94"/>
      <c r="EN7" s="95"/>
      <c r="EO7" s="96"/>
      <c r="EP7" s="94"/>
      <c r="EQ7" s="97"/>
      <c r="ER7" s="93"/>
      <c r="ES7" s="94"/>
      <c r="ET7" s="95"/>
      <c r="EU7" s="96"/>
      <c r="EV7" s="94"/>
      <c r="EW7" s="95"/>
      <c r="EX7" s="96"/>
      <c r="EY7" s="94"/>
      <c r="EZ7" s="95"/>
      <c r="FA7" s="96"/>
      <c r="FB7" s="94"/>
      <c r="FC7" s="97"/>
    </row>
    <row r="8" spans="1:159" ht="19.5" customHeight="1" thickBot="1">
      <c r="B8" s="122"/>
      <c r="C8" s="104">
        <v>0</v>
      </c>
      <c r="D8" s="98"/>
      <c r="E8" s="99"/>
      <c r="F8" s="100"/>
      <c r="G8" s="101"/>
      <c r="H8" s="99"/>
      <c r="I8" s="100"/>
      <c r="J8" s="101"/>
      <c r="K8" s="99"/>
      <c r="L8" s="100"/>
      <c r="M8" s="101"/>
      <c r="N8" s="99"/>
      <c r="O8" s="102"/>
      <c r="P8" s="98"/>
      <c r="Q8" s="99"/>
      <c r="R8" s="100"/>
      <c r="S8" s="101"/>
      <c r="T8" s="99"/>
      <c r="U8" s="100"/>
      <c r="V8" s="101"/>
      <c r="W8" s="99"/>
      <c r="X8" s="100"/>
      <c r="Y8" s="101"/>
      <c r="Z8" s="99"/>
      <c r="AA8" s="102"/>
      <c r="AB8" s="98"/>
      <c r="AC8" s="99"/>
      <c r="AD8" s="100"/>
      <c r="AE8" s="101"/>
      <c r="AF8" s="99"/>
      <c r="AG8" s="100"/>
      <c r="AH8" s="101"/>
      <c r="AI8" s="99"/>
      <c r="AJ8" s="100"/>
      <c r="AK8" s="101"/>
      <c r="AL8" s="99"/>
      <c r="AM8" s="102"/>
      <c r="AN8" s="98"/>
      <c r="AO8" s="99"/>
      <c r="AP8" s="100"/>
      <c r="AQ8" s="101"/>
      <c r="AR8" s="99"/>
      <c r="AS8" s="100"/>
      <c r="AT8" s="101"/>
      <c r="AU8" s="99"/>
      <c r="AV8" s="100"/>
      <c r="AW8" s="101"/>
      <c r="AX8" s="99"/>
      <c r="AY8" s="102"/>
      <c r="AZ8" s="98"/>
      <c r="BA8" s="99"/>
      <c r="BB8" s="100"/>
      <c r="BC8" s="101"/>
      <c r="BD8" s="99"/>
      <c r="BE8" s="100"/>
      <c r="BF8" s="101"/>
      <c r="BG8" s="99"/>
      <c r="BH8" s="100"/>
      <c r="BI8" s="101"/>
      <c r="BJ8" s="99"/>
      <c r="BK8" s="102"/>
      <c r="BL8" s="98"/>
      <c r="BM8" s="99"/>
      <c r="BN8" s="100"/>
      <c r="BO8" s="101"/>
      <c r="BP8" s="99"/>
      <c r="BQ8" s="100"/>
      <c r="BR8" s="101"/>
      <c r="BS8" s="99"/>
      <c r="BT8" s="100"/>
      <c r="BU8" s="101"/>
      <c r="BV8" s="99"/>
      <c r="BW8" s="102"/>
      <c r="BX8" s="98"/>
      <c r="BY8" s="99"/>
      <c r="BZ8" s="100"/>
      <c r="CA8" s="101"/>
      <c r="CB8" s="99"/>
      <c r="CC8" s="100"/>
      <c r="CD8" s="101"/>
      <c r="CE8" s="99"/>
      <c r="CF8" s="100"/>
      <c r="CG8" s="101"/>
      <c r="CH8" s="99"/>
      <c r="CI8" s="102"/>
      <c r="CJ8" s="98"/>
      <c r="CK8" s="99"/>
      <c r="CL8" s="100"/>
      <c r="CM8" s="101"/>
      <c r="CN8" s="99"/>
      <c r="CO8" s="100"/>
      <c r="CP8" s="101"/>
      <c r="CQ8" s="99"/>
      <c r="CR8" s="100"/>
      <c r="CS8" s="101"/>
      <c r="CT8" s="99"/>
      <c r="CU8" s="102"/>
      <c r="CV8" s="98"/>
      <c r="CW8" s="99"/>
      <c r="CX8" s="100"/>
      <c r="CY8" s="101"/>
      <c r="CZ8" s="99"/>
      <c r="DA8" s="100"/>
      <c r="DB8" s="101"/>
      <c r="DC8" s="99"/>
      <c r="DD8" s="100"/>
      <c r="DE8" s="101"/>
      <c r="DF8" s="99"/>
      <c r="DG8" s="102"/>
      <c r="DH8" s="98"/>
      <c r="DI8" s="99"/>
      <c r="DJ8" s="100"/>
      <c r="DK8" s="101"/>
      <c r="DL8" s="99"/>
      <c r="DM8" s="100"/>
      <c r="DN8" s="101"/>
      <c r="DO8" s="99"/>
      <c r="DP8" s="100"/>
      <c r="DQ8" s="101"/>
      <c r="DR8" s="99"/>
      <c r="DS8" s="102"/>
      <c r="DT8" s="98"/>
      <c r="DU8" s="99"/>
      <c r="DV8" s="100"/>
      <c r="DW8" s="101"/>
      <c r="DX8" s="99"/>
      <c r="DY8" s="100"/>
      <c r="DZ8" s="101"/>
      <c r="EA8" s="99"/>
      <c r="EB8" s="100"/>
      <c r="EC8" s="101"/>
      <c r="ED8" s="99"/>
      <c r="EE8" s="102"/>
      <c r="EF8" s="98"/>
      <c r="EG8" s="99"/>
      <c r="EH8" s="100"/>
      <c r="EI8" s="101"/>
      <c r="EJ8" s="99"/>
      <c r="EK8" s="100"/>
      <c r="EL8" s="101"/>
      <c r="EM8" s="99"/>
      <c r="EN8" s="100"/>
      <c r="EO8" s="101"/>
      <c r="EP8" s="99"/>
      <c r="EQ8" s="102"/>
      <c r="ER8" s="98"/>
      <c r="ES8" s="99"/>
      <c r="ET8" s="100"/>
      <c r="EU8" s="101"/>
      <c r="EV8" s="99"/>
      <c r="EW8" s="100"/>
      <c r="EX8" s="101"/>
      <c r="EY8" s="99"/>
      <c r="EZ8" s="100"/>
      <c r="FA8" s="101"/>
      <c r="FB8" s="99"/>
      <c r="FC8" s="102"/>
    </row>
    <row r="9" spans="1:159" ht="19.5" customHeight="1">
      <c r="B9" s="121" t="str">
        <f>Donnees!$C$23</f>
        <v>Collecte de données</v>
      </c>
      <c r="C9" s="103">
        <v>0</v>
      </c>
      <c r="D9" s="93"/>
      <c r="E9" s="94"/>
      <c r="F9" s="95"/>
      <c r="G9" s="96"/>
      <c r="H9" s="94"/>
      <c r="I9" s="95"/>
      <c r="J9" s="96"/>
      <c r="K9" s="94"/>
      <c r="L9" s="95"/>
      <c r="M9" s="96"/>
      <c r="N9" s="94"/>
      <c r="O9" s="97"/>
      <c r="P9" s="93"/>
      <c r="Q9" s="94"/>
      <c r="R9" s="95"/>
      <c r="S9" s="96"/>
      <c r="T9" s="94"/>
      <c r="U9" s="95"/>
      <c r="V9" s="96"/>
      <c r="W9" s="94"/>
      <c r="X9" s="95"/>
      <c r="Y9" s="96"/>
      <c r="Z9" s="94"/>
      <c r="AA9" s="97"/>
      <c r="AB9" s="93"/>
      <c r="AC9" s="94"/>
      <c r="AD9" s="95"/>
      <c r="AE9" s="96"/>
      <c r="AF9" s="94"/>
      <c r="AG9" s="95"/>
      <c r="AH9" s="96"/>
      <c r="AI9" s="94"/>
      <c r="AJ9" s="95"/>
      <c r="AK9" s="96"/>
      <c r="AL9" s="94"/>
      <c r="AM9" s="97"/>
      <c r="AN9" s="93"/>
      <c r="AO9" s="94"/>
      <c r="AP9" s="95"/>
      <c r="AQ9" s="96"/>
      <c r="AR9" s="94"/>
      <c r="AS9" s="95"/>
      <c r="AT9" s="96"/>
      <c r="AU9" s="94"/>
      <c r="AV9" s="95"/>
      <c r="AW9" s="96"/>
      <c r="AX9" s="94"/>
      <c r="AY9" s="97"/>
      <c r="AZ9" s="93"/>
      <c r="BA9" s="94"/>
      <c r="BB9" s="95"/>
      <c r="BC9" s="96"/>
      <c r="BD9" s="94"/>
      <c r="BE9" s="95"/>
      <c r="BF9" s="96"/>
      <c r="BG9" s="94"/>
      <c r="BH9" s="95"/>
      <c r="BI9" s="96"/>
      <c r="BJ9" s="94"/>
      <c r="BK9" s="97"/>
      <c r="BL9" s="93"/>
      <c r="BM9" s="94"/>
      <c r="BN9" s="95"/>
      <c r="BO9" s="96"/>
      <c r="BP9" s="94"/>
      <c r="BQ9" s="95"/>
      <c r="BR9" s="96"/>
      <c r="BS9" s="94"/>
      <c r="BT9" s="95"/>
      <c r="BU9" s="96"/>
      <c r="BV9" s="94"/>
      <c r="BW9" s="97"/>
      <c r="BX9" s="93"/>
      <c r="BY9" s="94"/>
      <c r="BZ9" s="95"/>
      <c r="CA9" s="96"/>
      <c r="CB9" s="94"/>
      <c r="CC9" s="95"/>
      <c r="CD9" s="96"/>
      <c r="CE9" s="94"/>
      <c r="CF9" s="95"/>
      <c r="CG9" s="96"/>
      <c r="CH9" s="94"/>
      <c r="CI9" s="97"/>
      <c r="CJ9" s="93"/>
      <c r="CK9" s="94"/>
      <c r="CL9" s="95"/>
      <c r="CM9" s="96"/>
      <c r="CN9" s="94"/>
      <c r="CO9" s="95"/>
      <c r="CP9" s="96"/>
      <c r="CQ9" s="94"/>
      <c r="CR9" s="95"/>
      <c r="CS9" s="96"/>
      <c r="CT9" s="94"/>
      <c r="CU9" s="97"/>
      <c r="CV9" s="93"/>
      <c r="CW9" s="94"/>
      <c r="CX9" s="95"/>
      <c r="CY9" s="96"/>
      <c r="CZ9" s="94"/>
      <c r="DA9" s="95"/>
      <c r="DB9" s="96"/>
      <c r="DC9" s="94"/>
      <c r="DD9" s="95"/>
      <c r="DE9" s="96"/>
      <c r="DF9" s="94"/>
      <c r="DG9" s="97"/>
      <c r="DH9" s="93"/>
      <c r="DI9" s="94"/>
      <c r="DJ9" s="95"/>
      <c r="DK9" s="96"/>
      <c r="DL9" s="94"/>
      <c r="DM9" s="95"/>
      <c r="DN9" s="96"/>
      <c r="DO9" s="94"/>
      <c r="DP9" s="95"/>
      <c r="DQ9" s="96"/>
      <c r="DR9" s="94"/>
      <c r="DS9" s="97"/>
      <c r="DT9" s="93"/>
      <c r="DU9" s="94"/>
      <c r="DV9" s="95"/>
      <c r="DW9" s="96"/>
      <c r="DX9" s="94"/>
      <c r="DY9" s="95"/>
      <c r="DZ9" s="96"/>
      <c r="EA9" s="94"/>
      <c r="EB9" s="95"/>
      <c r="EC9" s="96"/>
      <c r="ED9" s="94"/>
      <c r="EE9" s="97"/>
      <c r="EF9" s="93"/>
      <c r="EG9" s="94"/>
      <c r="EH9" s="95"/>
      <c r="EI9" s="96"/>
      <c r="EJ9" s="94"/>
      <c r="EK9" s="95"/>
      <c r="EL9" s="96"/>
      <c r="EM9" s="94"/>
      <c r="EN9" s="95"/>
      <c r="EO9" s="96"/>
      <c r="EP9" s="94"/>
      <c r="EQ9" s="97"/>
      <c r="ER9" s="93"/>
      <c r="ES9" s="94"/>
      <c r="ET9" s="95"/>
      <c r="EU9" s="96"/>
      <c r="EV9" s="94"/>
      <c r="EW9" s="95"/>
      <c r="EX9" s="96"/>
      <c r="EY9" s="94"/>
      <c r="EZ9" s="95"/>
      <c r="FA9" s="96"/>
      <c r="FB9" s="94"/>
      <c r="FC9" s="97"/>
    </row>
    <row r="10" spans="1:159" ht="19.5" customHeight="1" thickBot="1">
      <c r="B10" s="122"/>
      <c r="C10" s="104">
        <v>0</v>
      </c>
      <c r="D10" s="98"/>
      <c r="E10" s="99"/>
      <c r="F10" s="100"/>
      <c r="G10" s="101"/>
      <c r="H10" s="99"/>
      <c r="I10" s="100"/>
      <c r="J10" s="101"/>
      <c r="K10" s="99"/>
      <c r="L10" s="100"/>
      <c r="M10" s="101"/>
      <c r="N10" s="99"/>
      <c r="O10" s="102"/>
      <c r="P10" s="98"/>
      <c r="Q10" s="99"/>
      <c r="R10" s="100"/>
      <c r="S10" s="101"/>
      <c r="T10" s="99"/>
      <c r="U10" s="100"/>
      <c r="V10" s="101"/>
      <c r="W10" s="99"/>
      <c r="X10" s="100"/>
      <c r="Y10" s="101"/>
      <c r="Z10" s="99"/>
      <c r="AA10" s="102"/>
      <c r="AB10" s="98"/>
      <c r="AC10" s="99"/>
      <c r="AD10" s="100"/>
      <c r="AE10" s="101"/>
      <c r="AF10" s="99"/>
      <c r="AG10" s="100"/>
      <c r="AH10" s="101"/>
      <c r="AI10" s="99"/>
      <c r="AJ10" s="100"/>
      <c r="AK10" s="101"/>
      <c r="AL10" s="99"/>
      <c r="AM10" s="102"/>
      <c r="AN10" s="98"/>
      <c r="AO10" s="99"/>
      <c r="AP10" s="100"/>
      <c r="AQ10" s="101"/>
      <c r="AR10" s="99"/>
      <c r="AS10" s="100"/>
      <c r="AT10" s="101"/>
      <c r="AU10" s="99"/>
      <c r="AV10" s="100"/>
      <c r="AW10" s="101"/>
      <c r="AX10" s="99"/>
      <c r="AY10" s="102"/>
      <c r="AZ10" s="98"/>
      <c r="BA10" s="99"/>
      <c r="BB10" s="100"/>
      <c r="BC10" s="101"/>
      <c r="BD10" s="99"/>
      <c r="BE10" s="100"/>
      <c r="BF10" s="101"/>
      <c r="BG10" s="99"/>
      <c r="BH10" s="100"/>
      <c r="BI10" s="101"/>
      <c r="BJ10" s="99"/>
      <c r="BK10" s="102"/>
      <c r="BL10" s="98"/>
      <c r="BM10" s="99"/>
      <c r="BN10" s="100"/>
      <c r="BO10" s="101"/>
      <c r="BP10" s="99"/>
      <c r="BQ10" s="100"/>
      <c r="BR10" s="101"/>
      <c r="BS10" s="99"/>
      <c r="BT10" s="100"/>
      <c r="BU10" s="101"/>
      <c r="BV10" s="99"/>
      <c r="BW10" s="102"/>
      <c r="BX10" s="98"/>
      <c r="BY10" s="99"/>
      <c r="BZ10" s="100"/>
      <c r="CA10" s="101"/>
      <c r="CB10" s="99"/>
      <c r="CC10" s="100"/>
      <c r="CD10" s="101"/>
      <c r="CE10" s="99"/>
      <c r="CF10" s="100"/>
      <c r="CG10" s="101"/>
      <c r="CH10" s="99"/>
      <c r="CI10" s="102"/>
      <c r="CJ10" s="98"/>
      <c r="CK10" s="99"/>
      <c r="CL10" s="100"/>
      <c r="CM10" s="101"/>
      <c r="CN10" s="99"/>
      <c r="CO10" s="100"/>
      <c r="CP10" s="101"/>
      <c r="CQ10" s="99"/>
      <c r="CR10" s="100"/>
      <c r="CS10" s="101"/>
      <c r="CT10" s="99"/>
      <c r="CU10" s="102"/>
      <c r="CV10" s="98"/>
      <c r="CW10" s="99"/>
      <c r="CX10" s="100"/>
      <c r="CY10" s="101"/>
      <c r="CZ10" s="99"/>
      <c r="DA10" s="100"/>
      <c r="DB10" s="101"/>
      <c r="DC10" s="99"/>
      <c r="DD10" s="100"/>
      <c r="DE10" s="101"/>
      <c r="DF10" s="99"/>
      <c r="DG10" s="102"/>
      <c r="DH10" s="98"/>
      <c r="DI10" s="99"/>
      <c r="DJ10" s="100"/>
      <c r="DK10" s="101"/>
      <c r="DL10" s="99"/>
      <c r="DM10" s="100"/>
      <c r="DN10" s="101"/>
      <c r="DO10" s="99"/>
      <c r="DP10" s="100"/>
      <c r="DQ10" s="101"/>
      <c r="DR10" s="99"/>
      <c r="DS10" s="102"/>
      <c r="DT10" s="98"/>
      <c r="DU10" s="99"/>
      <c r="DV10" s="100"/>
      <c r="DW10" s="101"/>
      <c r="DX10" s="99"/>
      <c r="DY10" s="100"/>
      <c r="DZ10" s="101"/>
      <c r="EA10" s="99"/>
      <c r="EB10" s="100"/>
      <c r="EC10" s="101"/>
      <c r="ED10" s="99"/>
      <c r="EE10" s="102"/>
      <c r="EF10" s="98"/>
      <c r="EG10" s="99"/>
      <c r="EH10" s="100"/>
      <c r="EI10" s="101"/>
      <c r="EJ10" s="99"/>
      <c r="EK10" s="100"/>
      <c r="EL10" s="101"/>
      <c r="EM10" s="99"/>
      <c r="EN10" s="100"/>
      <c r="EO10" s="101"/>
      <c r="EP10" s="99"/>
      <c r="EQ10" s="102"/>
      <c r="ER10" s="98"/>
      <c r="ES10" s="99"/>
      <c r="ET10" s="100"/>
      <c r="EU10" s="101"/>
      <c r="EV10" s="99"/>
      <c r="EW10" s="100"/>
      <c r="EX10" s="101"/>
      <c r="EY10" s="99"/>
      <c r="EZ10" s="100"/>
      <c r="FA10" s="101"/>
      <c r="FB10" s="99"/>
      <c r="FC10" s="102"/>
    </row>
    <row r="11" spans="1:159" ht="19.5" customHeight="1">
      <c r="B11" s="121" t="str">
        <f>Donnees!$C$24</f>
        <v>Documentation</v>
      </c>
      <c r="C11" s="103">
        <v>0</v>
      </c>
      <c r="D11" s="93"/>
      <c r="E11" s="94"/>
      <c r="F11" s="95"/>
      <c r="G11" s="96"/>
      <c r="H11" s="94"/>
      <c r="I11" s="95"/>
      <c r="J11" s="96"/>
      <c r="K11" s="94"/>
      <c r="L11" s="95"/>
      <c r="M11" s="96"/>
      <c r="N11" s="94"/>
      <c r="O11" s="97"/>
      <c r="P11" s="93"/>
      <c r="Q11" s="94"/>
      <c r="R11" s="95"/>
      <c r="S11" s="96"/>
      <c r="T11" s="94"/>
      <c r="U11" s="95"/>
      <c r="V11" s="96"/>
      <c r="W11" s="94"/>
      <c r="X11" s="95"/>
      <c r="Y11" s="96"/>
      <c r="Z11" s="94"/>
      <c r="AA11" s="97"/>
      <c r="AB11" s="93"/>
      <c r="AC11" s="94"/>
      <c r="AD11" s="95"/>
      <c r="AE11" s="96"/>
      <c r="AF11" s="94"/>
      <c r="AG11" s="95"/>
      <c r="AH11" s="96"/>
      <c r="AI11" s="94"/>
      <c r="AJ11" s="95"/>
      <c r="AK11" s="96"/>
      <c r="AL11" s="94"/>
      <c r="AM11" s="97"/>
      <c r="AN11" s="93"/>
      <c r="AO11" s="94"/>
      <c r="AP11" s="95"/>
      <c r="AQ11" s="96"/>
      <c r="AR11" s="94"/>
      <c r="AS11" s="95"/>
      <c r="AT11" s="96"/>
      <c r="AU11" s="94"/>
      <c r="AV11" s="95"/>
      <c r="AW11" s="96"/>
      <c r="AX11" s="94"/>
      <c r="AY11" s="97"/>
      <c r="AZ11" s="93"/>
      <c r="BA11" s="94"/>
      <c r="BB11" s="95"/>
      <c r="BC11" s="96"/>
      <c r="BD11" s="94"/>
      <c r="BE11" s="95"/>
      <c r="BF11" s="96"/>
      <c r="BG11" s="94"/>
      <c r="BH11" s="95"/>
      <c r="BI11" s="96"/>
      <c r="BJ11" s="94"/>
      <c r="BK11" s="97"/>
      <c r="BL11" s="93"/>
      <c r="BM11" s="94"/>
      <c r="BN11" s="95"/>
      <c r="BO11" s="96"/>
      <c r="BP11" s="94"/>
      <c r="BQ11" s="95"/>
      <c r="BR11" s="96"/>
      <c r="BS11" s="94"/>
      <c r="BT11" s="95"/>
      <c r="BU11" s="96"/>
      <c r="BV11" s="94"/>
      <c r="BW11" s="97"/>
      <c r="BX11" s="93"/>
      <c r="BY11" s="94"/>
      <c r="BZ11" s="95"/>
      <c r="CA11" s="96"/>
      <c r="CB11" s="94"/>
      <c r="CC11" s="95"/>
      <c r="CD11" s="96"/>
      <c r="CE11" s="94"/>
      <c r="CF11" s="95"/>
      <c r="CG11" s="96"/>
      <c r="CH11" s="94"/>
      <c r="CI11" s="97"/>
      <c r="CJ11" s="93"/>
      <c r="CK11" s="94"/>
      <c r="CL11" s="95"/>
      <c r="CM11" s="96"/>
      <c r="CN11" s="94"/>
      <c r="CO11" s="95"/>
      <c r="CP11" s="96"/>
      <c r="CQ11" s="94"/>
      <c r="CR11" s="95"/>
      <c r="CS11" s="96"/>
      <c r="CT11" s="94"/>
      <c r="CU11" s="97"/>
      <c r="CV11" s="93"/>
      <c r="CW11" s="94"/>
      <c r="CX11" s="95"/>
      <c r="CY11" s="96"/>
      <c r="CZ11" s="94"/>
      <c r="DA11" s="95"/>
      <c r="DB11" s="96"/>
      <c r="DC11" s="94"/>
      <c r="DD11" s="95"/>
      <c r="DE11" s="96"/>
      <c r="DF11" s="94"/>
      <c r="DG11" s="97"/>
      <c r="DH11" s="93"/>
      <c r="DI11" s="94"/>
      <c r="DJ11" s="95"/>
      <c r="DK11" s="96"/>
      <c r="DL11" s="94"/>
      <c r="DM11" s="95"/>
      <c r="DN11" s="96"/>
      <c r="DO11" s="94"/>
      <c r="DP11" s="95"/>
      <c r="DQ11" s="96"/>
      <c r="DR11" s="94"/>
      <c r="DS11" s="97"/>
      <c r="DT11" s="93"/>
      <c r="DU11" s="94"/>
      <c r="DV11" s="95"/>
      <c r="DW11" s="96"/>
      <c r="DX11" s="94"/>
      <c r="DY11" s="95"/>
      <c r="DZ11" s="96"/>
      <c r="EA11" s="94"/>
      <c r="EB11" s="95"/>
      <c r="EC11" s="96"/>
      <c r="ED11" s="94"/>
      <c r="EE11" s="97"/>
      <c r="EF11" s="93"/>
      <c r="EG11" s="94"/>
      <c r="EH11" s="95"/>
      <c r="EI11" s="96"/>
      <c r="EJ11" s="94"/>
      <c r="EK11" s="95"/>
      <c r="EL11" s="96"/>
      <c r="EM11" s="94"/>
      <c r="EN11" s="95"/>
      <c r="EO11" s="96"/>
      <c r="EP11" s="94"/>
      <c r="EQ11" s="97"/>
      <c r="ER11" s="93"/>
      <c r="ES11" s="94"/>
      <c r="ET11" s="95"/>
      <c r="EU11" s="96"/>
      <c r="EV11" s="94"/>
      <c r="EW11" s="95"/>
      <c r="EX11" s="96"/>
      <c r="EY11" s="94"/>
      <c r="EZ11" s="95"/>
      <c r="FA11" s="96"/>
      <c r="FB11" s="94"/>
      <c r="FC11" s="97"/>
    </row>
    <row r="12" spans="1:159" ht="19.5" customHeight="1" thickBot="1">
      <c r="B12" s="122"/>
      <c r="C12" s="104">
        <v>0</v>
      </c>
      <c r="D12" s="98"/>
      <c r="E12" s="99"/>
      <c r="F12" s="100"/>
      <c r="G12" s="101"/>
      <c r="H12" s="99"/>
      <c r="I12" s="100"/>
      <c r="J12" s="101"/>
      <c r="K12" s="99"/>
      <c r="L12" s="100"/>
      <c r="M12" s="101"/>
      <c r="N12" s="99"/>
      <c r="O12" s="102"/>
      <c r="P12" s="98"/>
      <c r="Q12" s="99"/>
      <c r="R12" s="100"/>
      <c r="S12" s="101"/>
      <c r="T12" s="99"/>
      <c r="U12" s="100"/>
      <c r="V12" s="101"/>
      <c r="W12" s="99"/>
      <c r="X12" s="100"/>
      <c r="Y12" s="101"/>
      <c r="Z12" s="99"/>
      <c r="AA12" s="102"/>
      <c r="AB12" s="98"/>
      <c r="AC12" s="99"/>
      <c r="AD12" s="100"/>
      <c r="AE12" s="101"/>
      <c r="AF12" s="99"/>
      <c r="AG12" s="100"/>
      <c r="AH12" s="101"/>
      <c r="AI12" s="99"/>
      <c r="AJ12" s="100"/>
      <c r="AK12" s="101"/>
      <c r="AL12" s="99"/>
      <c r="AM12" s="102"/>
      <c r="AN12" s="98"/>
      <c r="AO12" s="99"/>
      <c r="AP12" s="100"/>
      <c r="AQ12" s="101"/>
      <c r="AR12" s="99"/>
      <c r="AS12" s="100"/>
      <c r="AT12" s="101"/>
      <c r="AU12" s="99"/>
      <c r="AV12" s="100"/>
      <c r="AW12" s="101"/>
      <c r="AX12" s="99"/>
      <c r="AY12" s="102"/>
      <c r="AZ12" s="98"/>
      <c r="BA12" s="99"/>
      <c r="BB12" s="100"/>
      <c r="BC12" s="101"/>
      <c r="BD12" s="99"/>
      <c r="BE12" s="100"/>
      <c r="BF12" s="101"/>
      <c r="BG12" s="99"/>
      <c r="BH12" s="100"/>
      <c r="BI12" s="101"/>
      <c r="BJ12" s="99"/>
      <c r="BK12" s="102"/>
      <c r="BL12" s="98"/>
      <c r="BM12" s="99"/>
      <c r="BN12" s="100"/>
      <c r="BO12" s="101"/>
      <c r="BP12" s="99"/>
      <c r="BQ12" s="100"/>
      <c r="BR12" s="101"/>
      <c r="BS12" s="99"/>
      <c r="BT12" s="100"/>
      <c r="BU12" s="101"/>
      <c r="BV12" s="99"/>
      <c r="BW12" s="102"/>
      <c r="BX12" s="98"/>
      <c r="BY12" s="99"/>
      <c r="BZ12" s="100"/>
      <c r="CA12" s="101"/>
      <c r="CB12" s="99"/>
      <c r="CC12" s="100"/>
      <c r="CD12" s="101"/>
      <c r="CE12" s="99"/>
      <c r="CF12" s="100"/>
      <c r="CG12" s="101"/>
      <c r="CH12" s="99"/>
      <c r="CI12" s="102"/>
      <c r="CJ12" s="98"/>
      <c r="CK12" s="99"/>
      <c r="CL12" s="100"/>
      <c r="CM12" s="101"/>
      <c r="CN12" s="99"/>
      <c r="CO12" s="100"/>
      <c r="CP12" s="101"/>
      <c r="CQ12" s="99"/>
      <c r="CR12" s="100"/>
      <c r="CS12" s="101"/>
      <c r="CT12" s="99"/>
      <c r="CU12" s="102"/>
      <c r="CV12" s="98"/>
      <c r="CW12" s="99"/>
      <c r="CX12" s="100"/>
      <c r="CY12" s="101"/>
      <c r="CZ12" s="99"/>
      <c r="DA12" s="100"/>
      <c r="DB12" s="101"/>
      <c r="DC12" s="99"/>
      <c r="DD12" s="100"/>
      <c r="DE12" s="101"/>
      <c r="DF12" s="99"/>
      <c r="DG12" s="102"/>
      <c r="DH12" s="98"/>
      <c r="DI12" s="99"/>
      <c r="DJ12" s="100"/>
      <c r="DK12" s="101"/>
      <c r="DL12" s="99"/>
      <c r="DM12" s="100"/>
      <c r="DN12" s="101"/>
      <c r="DO12" s="99"/>
      <c r="DP12" s="100"/>
      <c r="DQ12" s="101"/>
      <c r="DR12" s="99"/>
      <c r="DS12" s="102"/>
      <c r="DT12" s="98"/>
      <c r="DU12" s="99"/>
      <c r="DV12" s="100"/>
      <c r="DW12" s="101"/>
      <c r="DX12" s="99"/>
      <c r="DY12" s="100"/>
      <c r="DZ12" s="101"/>
      <c r="EA12" s="99"/>
      <c r="EB12" s="100"/>
      <c r="EC12" s="101"/>
      <c r="ED12" s="99"/>
      <c r="EE12" s="102"/>
      <c r="EF12" s="98"/>
      <c r="EG12" s="99"/>
      <c r="EH12" s="100"/>
      <c r="EI12" s="101"/>
      <c r="EJ12" s="99"/>
      <c r="EK12" s="100"/>
      <c r="EL12" s="101"/>
      <c r="EM12" s="99"/>
      <c r="EN12" s="100"/>
      <c r="EO12" s="101"/>
      <c r="EP12" s="99"/>
      <c r="EQ12" s="102"/>
      <c r="ER12" s="98"/>
      <c r="ES12" s="99"/>
      <c r="ET12" s="100"/>
      <c r="EU12" s="101"/>
      <c r="EV12" s="99"/>
      <c r="EW12" s="100"/>
      <c r="EX12" s="101"/>
      <c r="EY12" s="99"/>
      <c r="EZ12" s="100"/>
      <c r="FA12" s="101"/>
      <c r="FB12" s="99"/>
      <c r="FC12" s="102"/>
    </row>
    <row r="13" spans="1:159" ht="19.5" customHeight="1">
      <c r="B13" s="121" t="str">
        <f>Donnees!$C$25</f>
        <v>Modélisation de la base de données (MCD, MLD, MPD)</v>
      </c>
      <c r="C13" s="103">
        <v>0</v>
      </c>
      <c r="D13" s="93"/>
      <c r="E13" s="94"/>
      <c r="F13" s="95"/>
      <c r="G13" s="96"/>
      <c r="H13" s="94"/>
      <c r="I13" s="95"/>
      <c r="J13" s="96"/>
      <c r="K13" s="94"/>
      <c r="L13" s="95"/>
      <c r="M13" s="96"/>
      <c r="N13" s="94"/>
      <c r="O13" s="97"/>
      <c r="P13" s="93"/>
      <c r="Q13" s="94"/>
      <c r="R13" s="95"/>
      <c r="S13" s="96"/>
      <c r="T13" s="94"/>
      <c r="U13" s="95"/>
      <c r="V13" s="96"/>
      <c r="W13" s="94"/>
      <c r="X13" s="95"/>
      <c r="Y13" s="96"/>
      <c r="Z13" s="94"/>
      <c r="AA13" s="97"/>
      <c r="AB13" s="93"/>
      <c r="AC13" s="94"/>
      <c r="AD13" s="95"/>
      <c r="AE13" s="96"/>
      <c r="AF13" s="94"/>
      <c r="AG13" s="95"/>
      <c r="AH13" s="96"/>
      <c r="AI13" s="94"/>
      <c r="AJ13" s="95"/>
      <c r="AK13" s="96"/>
      <c r="AL13" s="94"/>
      <c r="AM13" s="97"/>
      <c r="AN13" s="93"/>
      <c r="AO13" s="94"/>
      <c r="AP13" s="95"/>
      <c r="AQ13" s="96"/>
      <c r="AR13" s="94"/>
      <c r="AS13" s="95"/>
      <c r="AT13" s="96"/>
      <c r="AU13" s="94"/>
      <c r="AV13" s="95"/>
      <c r="AW13" s="96"/>
      <c r="AX13" s="94"/>
      <c r="AY13" s="97"/>
      <c r="AZ13" s="93"/>
      <c r="BA13" s="94"/>
      <c r="BB13" s="95"/>
      <c r="BC13" s="96"/>
      <c r="BD13" s="94"/>
      <c r="BE13" s="95"/>
      <c r="BF13" s="96"/>
      <c r="BG13" s="94"/>
      <c r="BH13" s="95"/>
      <c r="BI13" s="96"/>
      <c r="BJ13" s="94"/>
      <c r="BK13" s="97"/>
      <c r="BL13" s="93"/>
      <c r="BM13" s="94"/>
      <c r="BN13" s="95"/>
      <c r="BO13" s="96"/>
      <c r="BP13" s="94"/>
      <c r="BQ13" s="95"/>
      <c r="BR13" s="96"/>
      <c r="BS13" s="94"/>
      <c r="BT13" s="95"/>
      <c r="BU13" s="96"/>
      <c r="BV13" s="94"/>
      <c r="BW13" s="97"/>
      <c r="BX13" s="93"/>
      <c r="BY13" s="94"/>
      <c r="BZ13" s="95"/>
      <c r="CA13" s="96"/>
      <c r="CB13" s="94"/>
      <c r="CC13" s="95"/>
      <c r="CD13" s="96"/>
      <c r="CE13" s="94"/>
      <c r="CF13" s="95"/>
      <c r="CG13" s="96"/>
      <c r="CH13" s="94"/>
      <c r="CI13" s="97"/>
      <c r="CJ13" s="93"/>
      <c r="CK13" s="94"/>
      <c r="CL13" s="95"/>
      <c r="CM13" s="96"/>
      <c r="CN13" s="94"/>
      <c r="CO13" s="95"/>
      <c r="CP13" s="96"/>
      <c r="CQ13" s="94"/>
      <c r="CR13" s="95"/>
      <c r="CS13" s="96"/>
      <c r="CT13" s="94"/>
      <c r="CU13" s="97"/>
      <c r="CV13" s="93"/>
      <c r="CW13" s="94"/>
      <c r="CX13" s="95"/>
      <c r="CY13" s="96"/>
      <c r="CZ13" s="94"/>
      <c r="DA13" s="95"/>
      <c r="DB13" s="96"/>
      <c r="DC13" s="94"/>
      <c r="DD13" s="95"/>
      <c r="DE13" s="96"/>
      <c r="DF13" s="94"/>
      <c r="DG13" s="97"/>
      <c r="DH13" s="93"/>
      <c r="DI13" s="94"/>
      <c r="DJ13" s="95"/>
      <c r="DK13" s="96"/>
      <c r="DL13" s="94"/>
      <c r="DM13" s="95"/>
      <c r="DN13" s="96"/>
      <c r="DO13" s="94"/>
      <c r="DP13" s="95"/>
      <c r="DQ13" s="96"/>
      <c r="DR13" s="94"/>
      <c r="DS13" s="97"/>
      <c r="DT13" s="93"/>
      <c r="DU13" s="94"/>
      <c r="DV13" s="95"/>
      <c r="DW13" s="96"/>
      <c r="DX13" s="94"/>
      <c r="DY13" s="95"/>
      <c r="DZ13" s="96"/>
      <c r="EA13" s="94"/>
      <c r="EB13" s="95"/>
      <c r="EC13" s="96"/>
      <c r="ED13" s="94"/>
      <c r="EE13" s="97"/>
      <c r="EF13" s="93"/>
      <c r="EG13" s="94"/>
      <c r="EH13" s="95"/>
      <c r="EI13" s="96"/>
      <c r="EJ13" s="94"/>
      <c r="EK13" s="95"/>
      <c r="EL13" s="96"/>
      <c r="EM13" s="94"/>
      <c r="EN13" s="95"/>
      <c r="EO13" s="96"/>
      <c r="EP13" s="94"/>
      <c r="EQ13" s="97"/>
      <c r="ER13" s="93"/>
      <c r="ES13" s="94"/>
      <c r="ET13" s="95"/>
      <c r="EU13" s="96"/>
      <c r="EV13" s="94"/>
      <c r="EW13" s="95"/>
      <c r="EX13" s="96"/>
      <c r="EY13" s="94"/>
      <c r="EZ13" s="95"/>
      <c r="FA13" s="96"/>
      <c r="FB13" s="94"/>
      <c r="FC13" s="97"/>
    </row>
    <row r="14" spans="1:159" ht="19.5" customHeight="1" thickBot="1">
      <c r="B14" s="122"/>
      <c r="C14" s="104">
        <v>0</v>
      </c>
      <c r="D14" s="98"/>
      <c r="E14" s="99"/>
      <c r="F14" s="100"/>
      <c r="G14" s="101"/>
      <c r="H14" s="99"/>
      <c r="I14" s="100"/>
      <c r="J14" s="101"/>
      <c r="K14" s="99"/>
      <c r="L14" s="100"/>
      <c r="M14" s="101"/>
      <c r="N14" s="99"/>
      <c r="O14" s="102"/>
      <c r="P14" s="98"/>
      <c r="Q14" s="99"/>
      <c r="R14" s="100"/>
      <c r="S14" s="101"/>
      <c r="T14" s="99"/>
      <c r="U14" s="100"/>
      <c r="V14" s="101"/>
      <c r="W14" s="99"/>
      <c r="X14" s="100"/>
      <c r="Y14" s="101"/>
      <c r="Z14" s="99"/>
      <c r="AA14" s="102"/>
      <c r="AB14" s="98"/>
      <c r="AC14" s="99"/>
      <c r="AD14" s="100"/>
      <c r="AE14" s="101"/>
      <c r="AF14" s="99"/>
      <c r="AG14" s="100"/>
      <c r="AH14" s="101"/>
      <c r="AI14" s="99"/>
      <c r="AJ14" s="100"/>
      <c r="AK14" s="101"/>
      <c r="AL14" s="99"/>
      <c r="AM14" s="102"/>
      <c r="AN14" s="98"/>
      <c r="AO14" s="99"/>
      <c r="AP14" s="100"/>
      <c r="AQ14" s="101"/>
      <c r="AR14" s="99"/>
      <c r="AS14" s="100"/>
      <c r="AT14" s="101"/>
      <c r="AU14" s="99"/>
      <c r="AV14" s="100"/>
      <c r="AW14" s="101"/>
      <c r="AX14" s="99"/>
      <c r="AY14" s="102"/>
      <c r="AZ14" s="98"/>
      <c r="BA14" s="99"/>
      <c r="BB14" s="100"/>
      <c r="BC14" s="101"/>
      <c r="BD14" s="99"/>
      <c r="BE14" s="100"/>
      <c r="BF14" s="101"/>
      <c r="BG14" s="99"/>
      <c r="BH14" s="100"/>
      <c r="BI14" s="101"/>
      <c r="BJ14" s="99"/>
      <c r="BK14" s="102"/>
      <c r="BL14" s="98"/>
      <c r="BM14" s="99"/>
      <c r="BN14" s="100"/>
      <c r="BO14" s="101"/>
      <c r="BP14" s="99"/>
      <c r="BQ14" s="100"/>
      <c r="BR14" s="101"/>
      <c r="BS14" s="99"/>
      <c r="BT14" s="100"/>
      <c r="BU14" s="101"/>
      <c r="BV14" s="99"/>
      <c r="BW14" s="102"/>
      <c r="BX14" s="98"/>
      <c r="BY14" s="99"/>
      <c r="BZ14" s="100"/>
      <c r="CA14" s="101"/>
      <c r="CB14" s="99"/>
      <c r="CC14" s="100"/>
      <c r="CD14" s="101"/>
      <c r="CE14" s="99"/>
      <c r="CF14" s="100"/>
      <c r="CG14" s="101"/>
      <c r="CH14" s="99"/>
      <c r="CI14" s="102"/>
      <c r="CJ14" s="98"/>
      <c r="CK14" s="99"/>
      <c r="CL14" s="100"/>
      <c r="CM14" s="101"/>
      <c r="CN14" s="99"/>
      <c r="CO14" s="100"/>
      <c r="CP14" s="101"/>
      <c r="CQ14" s="99"/>
      <c r="CR14" s="100"/>
      <c r="CS14" s="101"/>
      <c r="CT14" s="99"/>
      <c r="CU14" s="102"/>
      <c r="CV14" s="98"/>
      <c r="CW14" s="99"/>
      <c r="CX14" s="100"/>
      <c r="CY14" s="101"/>
      <c r="CZ14" s="99"/>
      <c r="DA14" s="100"/>
      <c r="DB14" s="101"/>
      <c r="DC14" s="99"/>
      <c r="DD14" s="100"/>
      <c r="DE14" s="101"/>
      <c r="DF14" s="99"/>
      <c r="DG14" s="102"/>
      <c r="DH14" s="98"/>
      <c r="DI14" s="99"/>
      <c r="DJ14" s="100"/>
      <c r="DK14" s="101"/>
      <c r="DL14" s="99"/>
      <c r="DM14" s="100"/>
      <c r="DN14" s="101"/>
      <c r="DO14" s="99"/>
      <c r="DP14" s="100"/>
      <c r="DQ14" s="101"/>
      <c r="DR14" s="99"/>
      <c r="DS14" s="102"/>
      <c r="DT14" s="98"/>
      <c r="DU14" s="99"/>
      <c r="DV14" s="100"/>
      <c r="DW14" s="101"/>
      <c r="DX14" s="99"/>
      <c r="DY14" s="100"/>
      <c r="DZ14" s="101"/>
      <c r="EA14" s="99"/>
      <c r="EB14" s="100"/>
      <c r="EC14" s="101"/>
      <c r="ED14" s="99"/>
      <c r="EE14" s="102"/>
      <c r="EF14" s="98"/>
      <c r="EG14" s="99"/>
      <c r="EH14" s="100"/>
      <c r="EI14" s="101"/>
      <c r="EJ14" s="99"/>
      <c r="EK14" s="100"/>
      <c r="EL14" s="101"/>
      <c r="EM14" s="99"/>
      <c r="EN14" s="100"/>
      <c r="EO14" s="101"/>
      <c r="EP14" s="99"/>
      <c r="EQ14" s="102"/>
      <c r="ER14" s="98"/>
      <c r="ES14" s="99"/>
      <c r="ET14" s="100"/>
      <c r="EU14" s="101"/>
      <c r="EV14" s="99"/>
      <c r="EW14" s="100"/>
      <c r="EX14" s="101"/>
      <c r="EY14" s="99"/>
      <c r="EZ14" s="100"/>
      <c r="FA14" s="101"/>
      <c r="FB14" s="99"/>
      <c r="FC14" s="102"/>
    </row>
    <row r="15" spans="1:159" ht="19.5" customHeight="1">
      <c r="B15" s="121" t="str">
        <f>Donnees!$C$26</f>
        <v>Importation des données</v>
      </c>
      <c r="C15" s="103">
        <v>0</v>
      </c>
      <c r="D15" s="93"/>
      <c r="E15" s="94"/>
      <c r="F15" s="95"/>
      <c r="G15" s="96"/>
      <c r="H15" s="94"/>
      <c r="I15" s="95"/>
      <c r="J15" s="96"/>
      <c r="K15" s="94"/>
      <c r="L15" s="95"/>
      <c r="M15" s="96"/>
      <c r="N15" s="94"/>
      <c r="O15" s="97"/>
      <c r="P15" s="93"/>
      <c r="Q15" s="94"/>
      <c r="R15" s="95"/>
      <c r="S15" s="96"/>
      <c r="T15" s="94"/>
      <c r="U15" s="95"/>
      <c r="V15" s="96"/>
      <c r="W15" s="94"/>
      <c r="X15" s="95"/>
      <c r="Y15" s="96"/>
      <c r="Z15" s="94"/>
      <c r="AA15" s="97"/>
      <c r="AB15" s="93"/>
      <c r="AC15" s="94"/>
      <c r="AD15" s="95"/>
      <c r="AE15" s="96"/>
      <c r="AF15" s="94"/>
      <c r="AG15" s="95"/>
      <c r="AH15" s="96"/>
      <c r="AI15" s="94"/>
      <c r="AJ15" s="95"/>
      <c r="AK15" s="96"/>
      <c r="AL15" s="94"/>
      <c r="AM15" s="97"/>
      <c r="AN15" s="93"/>
      <c r="AO15" s="94"/>
      <c r="AP15" s="95"/>
      <c r="AQ15" s="96"/>
      <c r="AR15" s="94"/>
      <c r="AS15" s="95"/>
      <c r="AT15" s="96"/>
      <c r="AU15" s="94"/>
      <c r="AV15" s="95"/>
      <c r="AW15" s="96"/>
      <c r="AX15" s="94"/>
      <c r="AY15" s="97"/>
      <c r="AZ15" s="93"/>
      <c r="BA15" s="94"/>
      <c r="BB15" s="95"/>
      <c r="BC15" s="96"/>
      <c r="BD15" s="94"/>
      <c r="BE15" s="95"/>
      <c r="BF15" s="96"/>
      <c r="BG15" s="94"/>
      <c r="BH15" s="95"/>
      <c r="BI15" s="96"/>
      <c r="BJ15" s="94"/>
      <c r="BK15" s="97"/>
      <c r="BL15" s="93"/>
      <c r="BM15" s="94"/>
      <c r="BN15" s="95"/>
      <c r="BO15" s="96"/>
      <c r="BP15" s="94"/>
      <c r="BQ15" s="95"/>
      <c r="BR15" s="96"/>
      <c r="BS15" s="94"/>
      <c r="BT15" s="95"/>
      <c r="BU15" s="96"/>
      <c r="BV15" s="94"/>
      <c r="BW15" s="97"/>
      <c r="BX15" s="93"/>
      <c r="BY15" s="94"/>
      <c r="BZ15" s="95"/>
      <c r="CA15" s="96"/>
      <c r="CB15" s="94"/>
      <c r="CC15" s="95"/>
      <c r="CD15" s="96"/>
      <c r="CE15" s="94"/>
      <c r="CF15" s="95"/>
      <c r="CG15" s="96"/>
      <c r="CH15" s="94"/>
      <c r="CI15" s="97"/>
      <c r="CJ15" s="93"/>
      <c r="CK15" s="94"/>
      <c r="CL15" s="95"/>
      <c r="CM15" s="96"/>
      <c r="CN15" s="94"/>
      <c r="CO15" s="95"/>
      <c r="CP15" s="96"/>
      <c r="CQ15" s="94"/>
      <c r="CR15" s="95"/>
      <c r="CS15" s="96"/>
      <c r="CT15" s="94"/>
      <c r="CU15" s="97"/>
      <c r="CV15" s="93"/>
      <c r="CW15" s="94"/>
      <c r="CX15" s="95"/>
      <c r="CY15" s="96"/>
      <c r="CZ15" s="94"/>
      <c r="DA15" s="95"/>
      <c r="DB15" s="96"/>
      <c r="DC15" s="94"/>
      <c r="DD15" s="95"/>
      <c r="DE15" s="96"/>
      <c r="DF15" s="94"/>
      <c r="DG15" s="97"/>
      <c r="DH15" s="93"/>
      <c r="DI15" s="94"/>
      <c r="DJ15" s="95"/>
      <c r="DK15" s="96"/>
      <c r="DL15" s="94"/>
      <c r="DM15" s="95"/>
      <c r="DN15" s="96"/>
      <c r="DO15" s="94"/>
      <c r="DP15" s="95"/>
      <c r="DQ15" s="96"/>
      <c r="DR15" s="94"/>
      <c r="DS15" s="97"/>
      <c r="DT15" s="93"/>
      <c r="DU15" s="94"/>
      <c r="DV15" s="95"/>
      <c r="DW15" s="96"/>
      <c r="DX15" s="94"/>
      <c r="DY15" s="95"/>
      <c r="DZ15" s="96"/>
      <c r="EA15" s="94"/>
      <c r="EB15" s="95"/>
      <c r="EC15" s="96"/>
      <c r="ED15" s="94"/>
      <c r="EE15" s="97"/>
      <c r="EF15" s="93"/>
      <c r="EG15" s="94"/>
      <c r="EH15" s="95"/>
      <c r="EI15" s="96"/>
      <c r="EJ15" s="94"/>
      <c r="EK15" s="95"/>
      <c r="EL15" s="96"/>
      <c r="EM15" s="94"/>
      <c r="EN15" s="95"/>
      <c r="EO15" s="96"/>
      <c r="EP15" s="94"/>
      <c r="EQ15" s="97"/>
      <c r="ER15" s="93"/>
      <c r="ES15" s="94"/>
      <c r="ET15" s="95"/>
      <c r="EU15" s="96"/>
      <c r="EV15" s="94"/>
      <c r="EW15" s="95"/>
      <c r="EX15" s="96"/>
      <c r="EY15" s="94"/>
      <c r="EZ15" s="95"/>
      <c r="FA15" s="96"/>
      <c r="FB15" s="94"/>
      <c r="FC15" s="97"/>
    </row>
    <row r="16" spans="1:159" ht="19.5" customHeight="1" thickBot="1">
      <c r="A16" s="105"/>
      <c r="B16" s="122"/>
      <c r="C16" s="104">
        <v>0</v>
      </c>
      <c r="D16" s="98"/>
      <c r="E16" s="99"/>
      <c r="F16" s="100"/>
      <c r="G16" s="101"/>
      <c r="H16" s="99"/>
      <c r="I16" s="100"/>
      <c r="J16" s="101"/>
      <c r="K16" s="99"/>
      <c r="L16" s="100"/>
      <c r="M16" s="101"/>
      <c r="N16" s="99"/>
      <c r="O16" s="102"/>
      <c r="P16" s="98"/>
      <c r="Q16" s="99"/>
      <c r="R16" s="100"/>
      <c r="S16" s="101"/>
      <c r="T16" s="99"/>
      <c r="U16" s="100"/>
      <c r="V16" s="101"/>
      <c r="W16" s="99"/>
      <c r="X16" s="100"/>
      <c r="Y16" s="101"/>
      <c r="Z16" s="99"/>
      <c r="AA16" s="102"/>
      <c r="AB16" s="98"/>
      <c r="AC16" s="99"/>
      <c r="AD16" s="100"/>
      <c r="AE16" s="101"/>
      <c r="AF16" s="99"/>
      <c r="AG16" s="100"/>
      <c r="AH16" s="101"/>
      <c r="AI16" s="99"/>
      <c r="AJ16" s="100"/>
      <c r="AK16" s="101"/>
      <c r="AL16" s="99"/>
      <c r="AM16" s="102"/>
      <c r="AN16" s="98"/>
      <c r="AO16" s="99"/>
      <c r="AP16" s="100"/>
      <c r="AQ16" s="101"/>
      <c r="AR16" s="99"/>
      <c r="AS16" s="100"/>
      <c r="AT16" s="101"/>
      <c r="AU16" s="99"/>
      <c r="AV16" s="100"/>
      <c r="AW16" s="101"/>
      <c r="AX16" s="99"/>
      <c r="AY16" s="102"/>
      <c r="AZ16" s="98"/>
      <c r="BA16" s="99"/>
      <c r="BB16" s="100"/>
      <c r="BC16" s="101"/>
      <c r="BD16" s="99"/>
      <c r="BE16" s="100"/>
      <c r="BF16" s="101"/>
      <c r="BG16" s="99"/>
      <c r="BH16" s="100"/>
      <c r="BI16" s="101"/>
      <c r="BJ16" s="99"/>
      <c r="BK16" s="102"/>
      <c r="BL16" s="98"/>
      <c r="BM16" s="99"/>
      <c r="BN16" s="100"/>
      <c r="BO16" s="101"/>
      <c r="BP16" s="99"/>
      <c r="BQ16" s="100"/>
      <c r="BR16" s="101"/>
      <c r="BS16" s="99"/>
      <c r="BT16" s="100"/>
      <c r="BU16" s="101"/>
      <c r="BV16" s="99"/>
      <c r="BW16" s="102"/>
      <c r="BX16" s="98"/>
      <c r="BY16" s="99"/>
      <c r="BZ16" s="100"/>
      <c r="CA16" s="101"/>
      <c r="CB16" s="99"/>
      <c r="CC16" s="100"/>
      <c r="CD16" s="101"/>
      <c r="CE16" s="99"/>
      <c r="CF16" s="100"/>
      <c r="CG16" s="101"/>
      <c r="CH16" s="99"/>
      <c r="CI16" s="102"/>
      <c r="CJ16" s="98"/>
      <c r="CK16" s="99"/>
      <c r="CL16" s="100"/>
      <c r="CM16" s="101"/>
      <c r="CN16" s="99"/>
      <c r="CO16" s="100"/>
      <c r="CP16" s="101"/>
      <c r="CQ16" s="99"/>
      <c r="CR16" s="100"/>
      <c r="CS16" s="101"/>
      <c r="CT16" s="99"/>
      <c r="CU16" s="102"/>
      <c r="CV16" s="98"/>
      <c r="CW16" s="99"/>
      <c r="CX16" s="100"/>
      <c r="CY16" s="101"/>
      <c r="CZ16" s="99"/>
      <c r="DA16" s="100"/>
      <c r="DB16" s="101"/>
      <c r="DC16" s="99"/>
      <c r="DD16" s="100"/>
      <c r="DE16" s="101"/>
      <c r="DF16" s="99"/>
      <c r="DG16" s="102"/>
      <c r="DH16" s="98"/>
      <c r="DI16" s="99"/>
      <c r="DJ16" s="100"/>
      <c r="DK16" s="101"/>
      <c r="DL16" s="99"/>
      <c r="DM16" s="100"/>
      <c r="DN16" s="101"/>
      <c r="DO16" s="99"/>
      <c r="DP16" s="100"/>
      <c r="DQ16" s="101"/>
      <c r="DR16" s="99"/>
      <c r="DS16" s="102"/>
      <c r="DT16" s="98"/>
      <c r="DU16" s="99"/>
      <c r="DV16" s="100"/>
      <c r="DW16" s="101"/>
      <c r="DX16" s="99"/>
      <c r="DY16" s="100"/>
      <c r="DZ16" s="101"/>
      <c r="EA16" s="99"/>
      <c r="EB16" s="100"/>
      <c r="EC16" s="101"/>
      <c r="ED16" s="99"/>
      <c r="EE16" s="102"/>
      <c r="EF16" s="98"/>
      <c r="EG16" s="99"/>
      <c r="EH16" s="100"/>
      <c r="EI16" s="101"/>
      <c r="EJ16" s="99"/>
      <c r="EK16" s="100"/>
      <c r="EL16" s="101"/>
      <c r="EM16" s="99"/>
      <c r="EN16" s="100"/>
      <c r="EO16" s="101"/>
      <c r="EP16" s="99"/>
      <c r="EQ16" s="102"/>
      <c r="ER16" s="98"/>
      <c r="ES16" s="99"/>
      <c r="ET16" s="100"/>
      <c r="EU16" s="101"/>
      <c r="EV16" s="99"/>
      <c r="EW16" s="100"/>
      <c r="EX16" s="101"/>
      <c r="EY16" s="99"/>
      <c r="EZ16" s="100"/>
      <c r="FA16" s="101"/>
      <c r="FB16" s="99"/>
      <c r="FC16" s="102"/>
    </row>
    <row r="17" spans="2:159" ht="19.5" customHeight="1">
      <c r="B17" s="121" t="str">
        <f>Donnees!$C$27</f>
        <v>Requêtes SQL</v>
      </c>
      <c r="C17" s="103">
        <v>0</v>
      </c>
      <c r="D17" s="93"/>
      <c r="E17" s="94"/>
      <c r="F17" s="95"/>
      <c r="G17" s="96"/>
      <c r="H17" s="94"/>
      <c r="I17" s="95"/>
      <c r="J17" s="96"/>
      <c r="K17" s="94"/>
      <c r="L17" s="95"/>
      <c r="M17" s="96"/>
      <c r="N17" s="94"/>
      <c r="O17" s="97"/>
      <c r="P17" s="93"/>
      <c r="Q17" s="94"/>
      <c r="R17" s="95"/>
      <c r="S17" s="96"/>
      <c r="T17" s="94"/>
      <c r="U17" s="95"/>
      <c r="V17" s="96"/>
      <c r="W17" s="94"/>
      <c r="X17" s="95"/>
      <c r="Y17" s="96"/>
      <c r="Z17" s="94"/>
      <c r="AA17" s="97"/>
      <c r="AB17" s="93"/>
      <c r="AC17" s="94"/>
      <c r="AD17" s="95"/>
      <c r="AE17" s="96"/>
      <c r="AF17" s="94"/>
      <c r="AG17" s="95"/>
      <c r="AH17" s="96"/>
      <c r="AI17" s="94"/>
      <c r="AJ17" s="95"/>
      <c r="AK17" s="96"/>
      <c r="AL17" s="94"/>
      <c r="AM17" s="97"/>
      <c r="AN17" s="93"/>
      <c r="AO17" s="94"/>
      <c r="AP17" s="95"/>
      <c r="AQ17" s="96"/>
      <c r="AR17" s="94"/>
      <c r="AS17" s="95"/>
      <c r="AT17" s="96"/>
      <c r="AU17" s="94"/>
      <c r="AV17" s="95"/>
      <c r="AW17" s="96"/>
      <c r="AX17" s="94"/>
      <c r="AY17" s="97"/>
      <c r="AZ17" s="93"/>
      <c r="BA17" s="94"/>
      <c r="BB17" s="95"/>
      <c r="BC17" s="96"/>
      <c r="BD17" s="94"/>
      <c r="BE17" s="95"/>
      <c r="BF17" s="96"/>
      <c r="BG17" s="94"/>
      <c r="BH17" s="95"/>
      <c r="BI17" s="96"/>
      <c r="BJ17" s="94"/>
      <c r="BK17" s="97"/>
      <c r="BL17" s="93"/>
      <c r="BM17" s="94"/>
      <c r="BN17" s="95"/>
      <c r="BO17" s="96"/>
      <c r="BP17" s="94"/>
      <c r="BQ17" s="95"/>
      <c r="BR17" s="96"/>
      <c r="BS17" s="94"/>
      <c r="BT17" s="95"/>
      <c r="BU17" s="96"/>
      <c r="BV17" s="94"/>
      <c r="BW17" s="97"/>
      <c r="BX17" s="93"/>
      <c r="BY17" s="94"/>
      <c r="BZ17" s="95"/>
      <c r="CA17" s="96"/>
      <c r="CB17" s="94"/>
      <c r="CC17" s="95"/>
      <c r="CD17" s="96"/>
      <c r="CE17" s="94"/>
      <c r="CF17" s="95"/>
      <c r="CG17" s="96"/>
      <c r="CH17" s="94"/>
      <c r="CI17" s="97"/>
      <c r="CJ17" s="93"/>
      <c r="CK17" s="94"/>
      <c r="CL17" s="95"/>
      <c r="CM17" s="96"/>
      <c r="CN17" s="94"/>
      <c r="CO17" s="95"/>
      <c r="CP17" s="96"/>
      <c r="CQ17" s="94"/>
      <c r="CR17" s="95"/>
      <c r="CS17" s="96"/>
      <c r="CT17" s="94"/>
      <c r="CU17" s="97"/>
      <c r="CV17" s="93"/>
      <c r="CW17" s="94"/>
      <c r="CX17" s="95"/>
      <c r="CY17" s="96"/>
      <c r="CZ17" s="94"/>
      <c r="DA17" s="95"/>
      <c r="DB17" s="96"/>
      <c r="DC17" s="94"/>
      <c r="DD17" s="95"/>
      <c r="DE17" s="96"/>
      <c r="DF17" s="94"/>
      <c r="DG17" s="97"/>
      <c r="DH17" s="93"/>
      <c r="DI17" s="94"/>
      <c r="DJ17" s="95"/>
      <c r="DK17" s="96"/>
      <c r="DL17" s="94"/>
      <c r="DM17" s="95"/>
      <c r="DN17" s="96"/>
      <c r="DO17" s="94"/>
      <c r="DP17" s="95"/>
      <c r="DQ17" s="96"/>
      <c r="DR17" s="94"/>
      <c r="DS17" s="97"/>
      <c r="DT17" s="93"/>
      <c r="DU17" s="94"/>
      <c r="DV17" s="95"/>
      <c r="DW17" s="96"/>
      <c r="DX17" s="94"/>
      <c r="DY17" s="95"/>
      <c r="DZ17" s="96"/>
      <c r="EA17" s="94"/>
      <c r="EB17" s="95"/>
      <c r="EC17" s="96"/>
      <c r="ED17" s="94"/>
      <c r="EE17" s="97"/>
      <c r="EF17" s="93"/>
      <c r="EG17" s="94"/>
      <c r="EH17" s="95"/>
      <c r="EI17" s="96"/>
      <c r="EJ17" s="94"/>
      <c r="EK17" s="95"/>
      <c r="EL17" s="96"/>
      <c r="EM17" s="94"/>
      <c r="EN17" s="95"/>
      <c r="EO17" s="96"/>
      <c r="EP17" s="94"/>
      <c r="EQ17" s="97"/>
      <c r="ER17" s="93"/>
      <c r="ES17" s="94"/>
      <c r="ET17" s="95"/>
      <c r="EU17" s="96"/>
      <c r="EV17" s="94"/>
      <c r="EW17" s="95"/>
      <c r="EX17" s="96"/>
      <c r="EY17" s="94"/>
      <c r="EZ17" s="95"/>
      <c r="FA17" s="96"/>
      <c r="FB17" s="94"/>
      <c r="FC17" s="97"/>
    </row>
    <row r="18" spans="2:159" ht="19.5" customHeight="1" thickBot="1">
      <c r="B18" s="122"/>
      <c r="C18" s="104">
        <v>0</v>
      </c>
      <c r="D18" s="98"/>
      <c r="E18" s="99"/>
      <c r="F18" s="100"/>
      <c r="G18" s="101"/>
      <c r="H18" s="99"/>
      <c r="I18" s="100"/>
      <c r="J18" s="101"/>
      <c r="K18" s="99"/>
      <c r="L18" s="100"/>
      <c r="M18" s="101"/>
      <c r="N18" s="99"/>
      <c r="O18" s="102"/>
      <c r="P18" s="98"/>
      <c r="Q18" s="99"/>
      <c r="R18" s="100"/>
      <c r="S18" s="101"/>
      <c r="T18" s="99"/>
      <c r="U18" s="100"/>
      <c r="V18" s="101"/>
      <c r="W18" s="99"/>
      <c r="X18" s="100"/>
      <c r="Y18" s="101"/>
      <c r="Z18" s="99"/>
      <c r="AA18" s="102"/>
      <c r="AB18" s="98"/>
      <c r="AC18" s="99"/>
      <c r="AD18" s="100"/>
      <c r="AE18" s="101"/>
      <c r="AF18" s="99"/>
      <c r="AG18" s="100"/>
      <c r="AH18" s="101"/>
      <c r="AI18" s="99"/>
      <c r="AJ18" s="100"/>
      <c r="AK18" s="101"/>
      <c r="AL18" s="99"/>
      <c r="AM18" s="102"/>
      <c r="AN18" s="98"/>
      <c r="AO18" s="99"/>
      <c r="AP18" s="100"/>
      <c r="AQ18" s="101"/>
      <c r="AR18" s="99"/>
      <c r="AS18" s="100"/>
      <c r="AT18" s="101"/>
      <c r="AU18" s="99"/>
      <c r="AV18" s="100"/>
      <c r="AW18" s="101"/>
      <c r="AX18" s="99"/>
      <c r="AY18" s="102"/>
      <c r="AZ18" s="98"/>
      <c r="BA18" s="99"/>
      <c r="BB18" s="100"/>
      <c r="BC18" s="101"/>
      <c r="BD18" s="99"/>
      <c r="BE18" s="100"/>
      <c r="BF18" s="101"/>
      <c r="BG18" s="99"/>
      <c r="BH18" s="100"/>
      <c r="BI18" s="101"/>
      <c r="BJ18" s="99"/>
      <c r="BK18" s="102"/>
      <c r="BL18" s="98"/>
      <c r="BM18" s="99"/>
      <c r="BN18" s="100"/>
      <c r="BO18" s="101"/>
      <c r="BP18" s="99"/>
      <c r="BQ18" s="100"/>
      <c r="BR18" s="101"/>
      <c r="BS18" s="99"/>
      <c r="BT18" s="100"/>
      <c r="BU18" s="101"/>
      <c r="BV18" s="99"/>
      <c r="BW18" s="102"/>
      <c r="BX18" s="98"/>
      <c r="BY18" s="99"/>
      <c r="BZ18" s="100"/>
      <c r="CA18" s="101"/>
      <c r="CB18" s="99"/>
      <c r="CC18" s="100"/>
      <c r="CD18" s="101"/>
      <c r="CE18" s="99"/>
      <c r="CF18" s="100"/>
      <c r="CG18" s="101"/>
      <c r="CH18" s="99"/>
      <c r="CI18" s="102"/>
      <c r="CJ18" s="98"/>
      <c r="CK18" s="99"/>
      <c r="CL18" s="100"/>
      <c r="CM18" s="101"/>
      <c r="CN18" s="99"/>
      <c r="CO18" s="100"/>
      <c r="CP18" s="101"/>
      <c r="CQ18" s="99"/>
      <c r="CR18" s="100"/>
      <c r="CS18" s="101"/>
      <c r="CT18" s="99"/>
      <c r="CU18" s="102"/>
      <c r="CV18" s="98"/>
      <c r="CW18" s="99"/>
      <c r="CX18" s="100"/>
      <c r="CY18" s="101"/>
      <c r="CZ18" s="99"/>
      <c r="DA18" s="100"/>
      <c r="DB18" s="101"/>
      <c r="DC18" s="99"/>
      <c r="DD18" s="100"/>
      <c r="DE18" s="101"/>
      <c r="DF18" s="99"/>
      <c r="DG18" s="102"/>
      <c r="DH18" s="98"/>
      <c r="DI18" s="99"/>
      <c r="DJ18" s="100"/>
      <c r="DK18" s="101"/>
      <c r="DL18" s="99"/>
      <c r="DM18" s="100"/>
      <c r="DN18" s="101"/>
      <c r="DO18" s="99"/>
      <c r="DP18" s="100"/>
      <c r="DQ18" s="101"/>
      <c r="DR18" s="99"/>
      <c r="DS18" s="102"/>
      <c r="DT18" s="98"/>
      <c r="DU18" s="99"/>
      <c r="DV18" s="100"/>
      <c r="DW18" s="101"/>
      <c r="DX18" s="99"/>
      <c r="DY18" s="100"/>
      <c r="DZ18" s="101"/>
      <c r="EA18" s="99"/>
      <c r="EB18" s="100"/>
      <c r="EC18" s="101"/>
      <c r="ED18" s="99"/>
      <c r="EE18" s="102"/>
      <c r="EF18" s="98"/>
      <c r="EG18" s="99"/>
      <c r="EH18" s="100"/>
      <c r="EI18" s="101"/>
      <c r="EJ18" s="99"/>
      <c r="EK18" s="100"/>
      <c r="EL18" s="101"/>
      <c r="EM18" s="99"/>
      <c r="EN18" s="100"/>
      <c r="EO18" s="101"/>
      <c r="EP18" s="99"/>
      <c r="EQ18" s="102"/>
      <c r="ER18" s="98"/>
      <c r="ES18" s="99"/>
      <c r="ET18" s="100"/>
      <c r="EU18" s="101"/>
      <c r="EV18" s="99"/>
      <c r="EW18" s="100"/>
      <c r="EX18" s="101"/>
      <c r="EY18" s="99"/>
      <c r="EZ18" s="100"/>
      <c r="FA18" s="101"/>
      <c r="FB18" s="99"/>
      <c r="FC18" s="102"/>
    </row>
    <row r="19" spans="2:159" ht="19.5" customHeight="1">
      <c r="B19" s="121" t="str">
        <f>Donnees!$C$28</f>
        <v>Création du site web</v>
      </c>
      <c r="C19" s="103">
        <v>0</v>
      </c>
      <c r="D19" s="93"/>
      <c r="E19" s="94"/>
      <c r="F19" s="95"/>
      <c r="G19" s="96"/>
      <c r="H19" s="94"/>
      <c r="I19" s="95"/>
      <c r="J19" s="96"/>
      <c r="K19" s="94"/>
      <c r="L19" s="95"/>
      <c r="M19" s="96"/>
      <c r="N19" s="94"/>
      <c r="O19" s="97"/>
      <c r="P19" s="93"/>
      <c r="Q19" s="94"/>
      <c r="R19" s="95"/>
      <c r="S19" s="96"/>
      <c r="T19" s="94"/>
      <c r="U19" s="95"/>
      <c r="V19" s="96"/>
      <c r="W19" s="94"/>
      <c r="X19" s="95"/>
      <c r="Y19" s="96"/>
      <c r="Z19" s="94"/>
      <c r="AA19" s="97"/>
      <c r="AB19" s="93"/>
      <c r="AC19" s="94"/>
      <c r="AD19" s="95"/>
      <c r="AE19" s="96"/>
      <c r="AF19" s="94"/>
      <c r="AG19" s="95"/>
      <c r="AH19" s="96"/>
      <c r="AI19" s="94"/>
      <c r="AJ19" s="95"/>
      <c r="AK19" s="96"/>
      <c r="AL19" s="94"/>
      <c r="AM19" s="97"/>
      <c r="AN19" s="93"/>
      <c r="AO19" s="94"/>
      <c r="AP19" s="95"/>
      <c r="AQ19" s="96"/>
      <c r="AR19" s="94"/>
      <c r="AS19" s="95"/>
      <c r="AT19" s="96"/>
      <c r="AU19" s="94"/>
      <c r="AV19" s="95"/>
      <c r="AW19" s="96"/>
      <c r="AX19" s="94"/>
      <c r="AY19" s="97"/>
      <c r="AZ19" s="93"/>
      <c r="BA19" s="94"/>
      <c r="BB19" s="95"/>
      <c r="BC19" s="96"/>
      <c r="BD19" s="94"/>
      <c r="BE19" s="95"/>
      <c r="BF19" s="96"/>
      <c r="BG19" s="94"/>
      <c r="BH19" s="95"/>
      <c r="BI19" s="96"/>
      <c r="BJ19" s="94"/>
      <c r="BK19" s="97"/>
      <c r="BL19" s="93"/>
      <c r="BM19" s="94"/>
      <c r="BN19" s="95"/>
      <c r="BO19" s="96"/>
      <c r="BP19" s="94"/>
      <c r="BQ19" s="95"/>
      <c r="BR19" s="96"/>
      <c r="BS19" s="94"/>
      <c r="BT19" s="95"/>
      <c r="BU19" s="96"/>
      <c r="BV19" s="94"/>
      <c r="BW19" s="97"/>
      <c r="BX19" s="93"/>
      <c r="BY19" s="94"/>
      <c r="BZ19" s="95"/>
      <c r="CA19" s="96"/>
      <c r="CB19" s="94"/>
      <c r="CC19" s="95"/>
      <c r="CD19" s="96"/>
      <c r="CE19" s="94"/>
      <c r="CF19" s="95"/>
      <c r="CG19" s="96"/>
      <c r="CH19" s="94"/>
      <c r="CI19" s="97"/>
      <c r="CJ19" s="93"/>
      <c r="CK19" s="94"/>
      <c r="CL19" s="95"/>
      <c r="CM19" s="96"/>
      <c r="CN19" s="94"/>
      <c r="CO19" s="95"/>
      <c r="CP19" s="96"/>
      <c r="CQ19" s="94"/>
      <c r="CR19" s="95"/>
      <c r="CS19" s="96"/>
      <c r="CT19" s="94"/>
      <c r="CU19" s="97"/>
      <c r="CV19" s="93"/>
      <c r="CW19" s="94"/>
      <c r="CX19" s="95"/>
      <c r="CY19" s="96"/>
      <c r="CZ19" s="94"/>
      <c r="DA19" s="95"/>
      <c r="DB19" s="96"/>
      <c r="DC19" s="94"/>
      <c r="DD19" s="95"/>
      <c r="DE19" s="96"/>
      <c r="DF19" s="94"/>
      <c r="DG19" s="97"/>
      <c r="DH19" s="93"/>
      <c r="DI19" s="94"/>
      <c r="DJ19" s="95"/>
      <c r="DK19" s="96"/>
      <c r="DL19" s="94"/>
      <c r="DM19" s="95"/>
      <c r="DN19" s="96"/>
      <c r="DO19" s="94"/>
      <c r="DP19" s="95"/>
      <c r="DQ19" s="96"/>
      <c r="DR19" s="94"/>
      <c r="DS19" s="97"/>
      <c r="DT19" s="93"/>
      <c r="DU19" s="94"/>
      <c r="DV19" s="95"/>
      <c r="DW19" s="96"/>
      <c r="DX19" s="94"/>
      <c r="DY19" s="95"/>
      <c r="DZ19" s="96"/>
      <c r="EA19" s="94"/>
      <c r="EB19" s="95"/>
      <c r="EC19" s="96"/>
      <c r="ED19" s="94"/>
      <c r="EE19" s="97"/>
      <c r="EF19" s="93"/>
      <c r="EG19" s="94"/>
      <c r="EH19" s="95"/>
      <c r="EI19" s="96"/>
      <c r="EJ19" s="94"/>
      <c r="EK19" s="95"/>
      <c r="EL19" s="96"/>
      <c r="EM19" s="94"/>
      <c r="EN19" s="95"/>
      <c r="EO19" s="96"/>
      <c r="EP19" s="94"/>
      <c r="EQ19" s="97"/>
      <c r="ER19" s="93"/>
      <c r="ES19" s="94"/>
      <c r="ET19" s="95"/>
      <c r="EU19" s="96"/>
      <c r="EV19" s="94"/>
      <c r="EW19" s="95"/>
      <c r="EX19" s="96"/>
      <c r="EY19" s="94"/>
      <c r="EZ19" s="95"/>
      <c r="FA19" s="96"/>
      <c r="FB19" s="94"/>
      <c r="FC19" s="97"/>
    </row>
    <row r="20" spans="2:159" ht="19.5" customHeight="1" thickBot="1">
      <c r="B20" s="122"/>
      <c r="C20" s="104">
        <v>0</v>
      </c>
      <c r="D20" s="98"/>
      <c r="E20" s="99"/>
      <c r="F20" s="100"/>
      <c r="G20" s="101"/>
      <c r="H20" s="99"/>
      <c r="I20" s="100"/>
      <c r="J20" s="101"/>
      <c r="K20" s="99"/>
      <c r="L20" s="100"/>
      <c r="M20" s="101"/>
      <c r="N20" s="99"/>
      <c r="O20" s="102"/>
      <c r="P20" s="98"/>
      <c r="Q20" s="99"/>
      <c r="R20" s="100"/>
      <c r="S20" s="101"/>
      <c r="T20" s="99"/>
      <c r="U20" s="100"/>
      <c r="V20" s="101"/>
      <c r="W20" s="99"/>
      <c r="X20" s="100"/>
      <c r="Y20" s="101"/>
      <c r="Z20" s="99"/>
      <c r="AA20" s="102"/>
      <c r="AB20" s="98"/>
      <c r="AC20" s="99"/>
      <c r="AD20" s="100"/>
      <c r="AE20" s="101"/>
      <c r="AF20" s="99"/>
      <c r="AG20" s="100"/>
      <c r="AH20" s="101"/>
      <c r="AI20" s="99"/>
      <c r="AJ20" s="100"/>
      <c r="AK20" s="101"/>
      <c r="AL20" s="99"/>
      <c r="AM20" s="102"/>
      <c r="AN20" s="98"/>
      <c r="AO20" s="99"/>
      <c r="AP20" s="100"/>
      <c r="AQ20" s="101"/>
      <c r="AR20" s="99"/>
      <c r="AS20" s="100"/>
      <c r="AT20" s="101"/>
      <c r="AU20" s="99"/>
      <c r="AV20" s="100"/>
      <c r="AW20" s="101"/>
      <c r="AX20" s="99"/>
      <c r="AY20" s="102"/>
      <c r="AZ20" s="98"/>
      <c r="BA20" s="99"/>
      <c r="BB20" s="100"/>
      <c r="BC20" s="101"/>
      <c r="BD20" s="99"/>
      <c r="BE20" s="100"/>
      <c r="BF20" s="101"/>
      <c r="BG20" s="99"/>
      <c r="BH20" s="100"/>
      <c r="BI20" s="101"/>
      <c r="BJ20" s="99"/>
      <c r="BK20" s="102"/>
      <c r="BL20" s="98"/>
      <c r="BM20" s="99"/>
      <c r="BN20" s="100"/>
      <c r="BO20" s="101"/>
      <c r="BP20" s="99"/>
      <c r="BQ20" s="100"/>
      <c r="BR20" s="101"/>
      <c r="BS20" s="99"/>
      <c r="BT20" s="100"/>
      <c r="BU20" s="101"/>
      <c r="BV20" s="99"/>
      <c r="BW20" s="102"/>
      <c r="BX20" s="98"/>
      <c r="BY20" s="99"/>
      <c r="BZ20" s="100"/>
      <c r="CA20" s="101"/>
      <c r="CB20" s="99"/>
      <c r="CC20" s="100"/>
      <c r="CD20" s="101"/>
      <c r="CE20" s="99"/>
      <c r="CF20" s="100"/>
      <c r="CG20" s="101"/>
      <c r="CH20" s="99"/>
      <c r="CI20" s="102"/>
      <c r="CJ20" s="98"/>
      <c r="CK20" s="99"/>
      <c r="CL20" s="100"/>
      <c r="CM20" s="101"/>
      <c r="CN20" s="99"/>
      <c r="CO20" s="100"/>
      <c r="CP20" s="101"/>
      <c r="CQ20" s="99"/>
      <c r="CR20" s="100"/>
      <c r="CS20" s="101"/>
      <c r="CT20" s="99"/>
      <c r="CU20" s="102"/>
      <c r="CV20" s="98"/>
      <c r="CW20" s="99"/>
      <c r="CX20" s="100"/>
      <c r="CY20" s="101"/>
      <c r="CZ20" s="99"/>
      <c r="DA20" s="100"/>
      <c r="DB20" s="101"/>
      <c r="DC20" s="99"/>
      <c r="DD20" s="100"/>
      <c r="DE20" s="101"/>
      <c r="DF20" s="99"/>
      <c r="DG20" s="102"/>
      <c r="DH20" s="98"/>
      <c r="DI20" s="99"/>
      <c r="DJ20" s="100"/>
      <c r="DK20" s="101"/>
      <c r="DL20" s="99"/>
      <c r="DM20" s="100"/>
      <c r="DN20" s="101"/>
      <c r="DO20" s="99"/>
      <c r="DP20" s="100"/>
      <c r="DQ20" s="101"/>
      <c r="DR20" s="99"/>
      <c r="DS20" s="102"/>
      <c r="DT20" s="98"/>
      <c r="DU20" s="99"/>
      <c r="DV20" s="100"/>
      <c r="DW20" s="101"/>
      <c r="DX20" s="99"/>
      <c r="DY20" s="100"/>
      <c r="DZ20" s="101"/>
      <c r="EA20" s="99"/>
      <c r="EB20" s="100"/>
      <c r="EC20" s="101"/>
      <c r="ED20" s="99"/>
      <c r="EE20" s="102"/>
      <c r="EF20" s="98"/>
      <c r="EG20" s="99"/>
      <c r="EH20" s="100"/>
      <c r="EI20" s="101"/>
      <c r="EJ20" s="99"/>
      <c r="EK20" s="100"/>
      <c r="EL20" s="101"/>
      <c r="EM20" s="99"/>
      <c r="EN20" s="100"/>
      <c r="EO20" s="101"/>
      <c r="EP20" s="99"/>
      <c r="EQ20" s="102"/>
      <c r="ER20" s="98"/>
      <c r="ES20" s="99"/>
      <c r="ET20" s="100"/>
      <c r="EU20" s="101"/>
      <c r="EV20" s="99"/>
      <c r="EW20" s="100"/>
      <c r="EX20" s="101"/>
      <c r="EY20" s="99"/>
      <c r="EZ20" s="100"/>
      <c r="FA20" s="101"/>
      <c r="FB20" s="99"/>
      <c r="FC20" s="102"/>
    </row>
    <row r="21" spans="2:159" ht="19.5" customHeight="1">
      <c r="B21" s="121" t="str">
        <f>Donnees!$C$29</f>
        <v>Planification du projet</v>
      </c>
      <c r="C21" s="103">
        <v>0</v>
      </c>
      <c r="D21" s="93"/>
      <c r="E21" s="94"/>
      <c r="F21" s="95"/>
      <c r="G21" s="96"/>
      <c r="H21" s="94"/>
      <c r="I21" s="95"/>
      <c r="J21" s="96"/>
      <c r="K21" s="94"/>
      <c r="L21" s="95"/>
      <c r="M21" s="96"/>
      <c r="N21" s="94"/>
      <c r="O21" s="97"/>
      <c r="P21" s="93"/>
      <c r="Q21" s="94"/>
      <c r="R21" s="95"/>
      <c r="S21" s="96"/>
      <c r="T21" s="94"/>
      <c r="U21" s="95"/>
      <c r="V21" s="96"/>
      <c r="W21" s="94"/>
      <c r="X21" s="95"/>
      <c r="Y21" s="96"/>
      <c r="Z21" s="94"/>
      <c r="AA21" s="97"/>
      <c r="AB21" s="93"/>
      <c r="AC21" s="94"/>
      <c r="AD21" s="95"/>
      <c r="AE21" s="96"/>
      <c r="AF21" s="94"/>
      <c r="AG21" s="95"/>
      <c r="AH21" s="96"/>
      <c r="AI21" s="94"/>
      <c r="AJ21" s="95"/>
      <c r="AK21" s="96"/>
      <c r="AL21" s="94"/>
      <c r="AM21" s="97"/>
      <c r="AN21" s="93"/>
      <c r="AO21" s="94"/>
      <c r="AP21" s="95"/>
      <c r="AQ21" s="96"/>
      <c r="AR21" s="94"/>
      <c r="AS21" s="95"/>
      <c r="AT21" s="96"/>
      <c r="AU21" s="94"/>
      <c r="AV21" s="95"/>
      <c r="AW21" s="96"/>
      <c r="AX21" s="94"/>
      <c r="AY21" s="97"/>
      <c r="AZ21" s="93"/>
      <c r="BA21" s="94"/>
      <c r="BB21" s="95"/>
      <c r="BC21" s="96"/>
      <c r="BD21" s="94"/>
      <c r="BE21" s="95"/>
      <c r="BF21" s="96"/>
      <c r="BG21" s="94"/>
      <c r="BH21" s="95"/>
      <c r="BI21" s="96"/>
      <c r="BJ21" s="94"/>
      <c r="BK21" s="97"/>
      <c r="BL21" s="93"/>
      <c r="BM21" s="94"/>
      <c r="BN21" s="95"/>
      <c r="BO21" s="96"/>
      <c r="BP21" s="94"/>
      <c r="BQ21" s="95"/>
      <c r="BR21" s="96"/>
      <c r="BS21" s="94"/>
      <c r="BT21" s="95"/>
      <c r="BU21" s="96"/>
      <c r="BV21" s="94"/>
      <c r="BW21" s="97"/>
      <c r="BX21" s="93"/>
      <c r="BY21" s="94"/>
      <c r="BZ21" s="95"/>
      <c r="CA21" s="96"/>
      <c r="CB21" s="94"/>
      <c r="CC21" s="95"/>
      <c r="CD21" s="96"/>
      <c r="CE21" s="94"/>
      <c r="CF21" s="95"/>
      <c r="CG21" s="96"/>
      <c r="CH21" s="94"/>
      <c r="CI21" s="97"/>
      <c r="CJ21" s="93"/>
      <c r="CK21" s="94"/>
      <c r="CL21" s="95"/>
      <c r="CM21" s="96"/>
      <c r="CN21" s="94"/>
      <c r="CO21" s="95"/>
      <c r="CP21" s="96"/>
      <c r="CQ21" s="94"/>
      <c r="CR21" s="95"/>
      <c r="CS21" s="96"/>
      <c r="CT21" s="94"/>
      <c r="CU21" s="97"/>
      <c r="CV21" s="93"/>
      <c r="CW21" s="94"/>
      <c r="CX21" s="95"/>
      <c r="CY21" s="96"/>
      <c r="CZ21" s="94"/>
      <c r="DA21" s="95"/>
      <c r="DB21" s="96"/>
      <c r="DC21" s="94"/>
      <c r="DD21" s="95"/>
      <c r="DE21" s="96"/>
      <c r="DF21" s="94"/>
      <c r="DG21" s="97"/>
      <c r="DH21" s="93"/>
      <c r="DI21" s="94"/>
      <c r="DJ21" s="95"/>
      <c r="DK21" s="96"/>
      <c r="DL21" s="94"/>
      <c r="DM21" s="95"/>
      <c r="DN21" s="96"/>
      <c r="DO21" s="94"/>
      <c r="DP21" s="95"/>
      <c r="DQ21" s="96"/>
      <c r="DR21" s="94"/>
      <c r="DS21" s="97"/>
      <c r="DT21" s="93"/>
      <c r="DU21" s="94"/>
      <c r="DV21" s="95"/>
      <c r="DW21" s="96"/>
      <c r="DX21" s="94"/>
      <c r="DY21" s="95"/>
      <c r="DZ21" s="96"/>
      <c r="EA21" s="94"/>
      <c r="EB21" s="95"/>
      <c r="EC21" s="96"/>
      <c r="ED21" s="94"/>
      <c r="EE21" s="97"/>
      <c r="EF21" s="93"/>
      <c r="EG21" s="94"/>
      <c r="EH21" s="95"/>
      <c r="EI21" s="96"/>
      <c r="EJ21" s="94"/>
      <c r="EK21" s="95"/>
      <c r="EL21" s="96"/>
      <c r="EM21" s="94"/>
      <c r="EN21" s="95"/>
      <c r="EO21" s="96"/>
      <c r="EP21" s="94"/>
      <c r="EQ21" s="97"/>
      <c r="ER21" s="93"/>
      <c r="ES21" s="94"/>
      <c r="ET21" s="95"/>
      <c r="EU21" s="96"/>
      <c r="EV21" s="94"/>
      <c r="EW21" s="95"/>
      <c r="EX21" s="96"/>
      <c r="EY21" s="94"/>
      <c r="EZ21" s="95"/>
      <c r="FA21" s="96"/>
      <c r="FB21" s="94"/>
      <c r="FC21" s="97"/>
    </row>
    <row r="22" spans="2:159" ht="19.5" customHeight="1" thickBot="1">
      <c r="B22" s="122"/>
      <c r="C22" s="104">
        <v>0</v>
      </c>
      <c r="D22" s="98"/>
      <c r="E22" s="99"/>
      <c r="F22" s="100"/>
      <c r="G22" s="101"/>
      <c r="H22" s="99"/>
      <c r="I22" s="100"/>
      <c r="J22" s="101"/>
      <c r="K22" s="99"/>
      <c r="L22" s="100"/>
      <c r="M22" s="101"/>
      <c r="N22" s="99"/>
      <c r="O22" s="102"/>
      <c r="P22" s="98"/>
      <c r="Q22" s="99"/>
      <c r="R22" s="100"/>
      <c r="S22" s="101"/>
      <c r="T22" s="99"/>
      <c r="U22" s="100"/>
      <c r="V22" s="101"/>
      <c r="W22" s="99"/>
      <c r="X22" s="100"/>
      <c r="Y22" s="101"/>
      <c r="Z22" s="99"/>
      <c r="AA22" s="102"/>
      <c r="AB22" s="98"/>
      <c r="AC22" s="99"/>
      <c r="AD22" s="100"/>
      <c r="AE22" s="101"/>
      <c r="AF22" s="99"/>
      <c r="AG22" s="100"/>
      <c r="AH22" s="101"/>
      <c r="AI22" s="99"/>
      <c r="AJ22" s="100"/>
      <c r="AK22" s="101"/>
      <c r="AL22" s="99"/>
      <c r="AM22" s="102"/>
      <c r="AN22" s="98"/>
      <c r="AO22" s="99"/>
      <c r="AP22" s="100"/>
      <c r="AQ22" s="101"/>
      <c r="AR22" s="99"/>
      <c r="AS22" s="100"/>
      <c r="AT22" s="101"/>
      <c r="AU22" s="99"/>
      <c r="AV22" s="100"/>
      <c r="AW22" s="101"/>
      <c r="AX22" s="99"/>
      <c r="AY22" s="102"/>
      <c r="AZ22" s="98"/>
      <c r="BA22" s="99"/>
      <c r="BB22" s="100"/>
      <c r="BC22" s="101"/>
      <c r="BD22" s="99"/>
      <c r="BE22" s="100"/>
      <c r="BF22" s="101"/>
      <c r="BG22" s="99"/>
      <c r="BH22" s="100"/>
      <c r="BI22" s="101"/>
      <c r="BJ22" s="99"/>
      <c r="BK22" s="102"/>
      <c r="BL22" s="98"/>
      <c r="BM22" s="99"/>
      <c r="BN22" s="100"/>
      <c r="BO22" s="101"/>
      <c r="BP22" s="99"/>
      <c r="BQ22" s="100"/>
      <c r="BR22" s="101"/>
      <c r="BS22" s="99"/>
      <c r="BT22" s="100"/>
      <c r="BU22" s="101"/>
      <c r="BV22" s="99"/>
      <c r="BW22" s="102"/>
      <c r="BX22" s="98"/>
      <c r="BY22" s="99"/>
      <c r="BZ22" s="100"/>
      <c r="CA22" s="101"/>
      <c r="CB22" s="99"/>
      <c r="CC22" s="100"/>
      <c r="CD22" s="101"/>
      <c r="CE22" s="99"/>
      <c r="CF22" s="100"/>
      <c r="CG22" s="101"/>
      <c r="CH22" s="99"/>
      <c r="CI22" s="102"/>
      <c r="CJ22" s="98"/>
      <c r="CK22" s="99"/>
      <c r="CL22" s="100"/>
      <c r="CM22" s="101"/>
      <c r="CN22" s="99"/>
      <c r="CO22" s="100"/>
      <c r="CP22" s="101"/>
      <c r="CQ22" s="99"/>
      <c r="CR22" s="100"/>
      <c r="CS22" s="101"/>
      <c r="CT22" s="99"/>
      <c r="CU22" s="102"/>
      <c r="CV22" s="98"/>
      <c r="CW22" s="99"/>
      <c r="CX22" s="100"/>
      <c r="CY22" s="101"/>
      <c r="CZ22" s="99"/>
      <c r="DA22" s="100"/>
      <c r="DB22" s="101"/>
      <c r="DC22" s="99"/>
      <c r="DD22" s="100"/>
      <c r="DE22" s="101"/>
      <c r="DF22" s="99"/>
      <c r="DG22" s="102"/>
      <c r="DH22" s="98"/>
      <c r="DI22" s="99"/>
      <c r="DJ22" s="100"/>
      <c r="DK22" s="101"/>
      <c r="DL22" s="99"/>
      <c r="DM22" s="100"/>
      <c r="DN22" s="101"/>
      <c r="DO22" s="99"/>
      <c r="DP22" s="100"/>
      <c r="DQ22" s="101"/>
      <c r="DR22" s="99"/>
      <c r="DS22" s="102"/>
      <c r="DT22" s="98"/>
      <c r="DU22" s="99"/>
      <c r="DV22" s="100"/>
      <c r="DW22" s="101"/>
      <c r="DX22" s="99"/>
      <c r="DY22" s="100"/>
      <c r="DZ22" s="101"/>
      <c r="EA22" s="99"/>
      <c r="EB22" s="100"/>
      <c r="EC22" s="101"/>
      <c r="ED22" s="99"/>
      <c r="EE22" s="102"/>
      <c r="EF22" s="98"/>
      <c r="EG22" s="99"/>
      <c r="EH22" s="100"/>
      <c r="EI22" s="101"/>
      <c r="EJ22" s="99"/>
      <c r="EK22" s="100"/>
      <c r="EL22" s="101"/>
      <c r="EM22" s="99"/>
      <c r="EN22" s="100"/>
      <c r="EO22" s="101"/>
      <c r="EP22" s="99"/>
      <c r="EQ22" s="102"/>
      <c r="ER22" s="98"/>
      <c r="ES22" s="99"/>
      <c r="ET22" s="100"/>
      <c r="EU22" s="101"/>
      <c r="EV22" s="99"/>
      <c r="EW22" s="100"/>
      <c r="EX22" s="101"/>
      <c r="EY22" s="99"/>
      <c r="EZ22" s="100"/>
      <c r="FA22" s="101"/>
      <c r="FB22" s="99"/>
      <c r="FC22" s="102"/>
    </row>
    <row r="23" spans="2:159" ht="19.5" customHeight="1">
      <c r="B23" s="121" t="str">
        <f>Donnees!$C$30</f>
        <v>Journal de travail</v>
      </c>
      <c r="C23" s="103">
        <v>0</v>
      </c>
      <c r="D23" s="93"/>
      <c r="E23" s="94"/>
      <c r="F23" s="95"/>
      <c r="G23" s="96"/>
      <c r="H23" s="94"/>
      <c r="I23" s="95"/>
      <c r="J23" s="96"/>
      <c r="K23" s="94"/>
      <c r="L23" s="95"/>
      <c r="M23" s="96"/>
      <c r="N23" s="94"/>
      <c r="O23" s="97"/>
      <c r="P23" s="93"/>
      <c r="Q23" s="94"/>
      <c r="R23" s="95"/>
      <c r="S23" s="96"/>
      <c r="T23" s="94"/>
      <c r="U23" s="95"/>
      <c r="V23" s="96"/>
      <c r="W23" s="94"/>
      <c r="X23" s="95"/>
      <c r="Y23" s="96"/>
      <c r="Z23" s="94"/>
      <c r="AA23" s="97"/>
      <c r="AB23" s="93"/>
      <c r="AC23" s="94"/>
      <c r="AD23" s="95"/>
      <c r="AE23" s="96"/>
      <c r="AF23" s="94"/>
      <c r="AG23" s="95"/>
      <c r="AH23" s="96"/>
      <c r="AI23" s="94"/>
      <c r="AJ23" s="95"/>
      <c r="AK23" s="96"/>
      <c r="AL23" s="94"/>
      <c r="AM23" s="97"/>
      <c r="AN23" s="93"/>
      <c r="AO23" s="94"/>
      <c r="AP23" s="95"/>
      <c r="AQ23" s="96"/>
      <c r="AR23" s="94"/>
      <c r="AS23" s="95"/>
      <c r="AT23" s="96"/>
      <c r="AU23" s="94"/>
      <c r="AV23" s="95"/>
      <c r="AW23" s="96"/>
      <c r="AX23" s="94"/>
      <c r="AY23" s="97"/>
      <c r="AZ23" s="93"/>
      <c r="BA23" s="94"/>
      <c r="BB23" s="95"/>
      <c r="BC23" s="96"/>
      <c r="BD23" s="94"/>
      <c r="BE23" s="95"/>
      <c r="BF23" s="96"/>
      <c r="BG23" s="94"/>
      <c r="BH23" s="95"/>
      <c r="BI23" s="96"/>
      <c r="BJ23" s="94"/>
      <c r="BK23" s="97"/>
      <c r="BL23" s="93"/>
      <c r="BM23" s="94"/>
      <c r="BN23" s="95"/>
      <c r="BO23" s="96"/>
      <c r="BP23" s="94"/>
      <c r="BQ23" s="95"/>
      <c r="BR23" s="96"/>
      <c r="BS23" s="94"/>
      <c r="BT23" s="95"/>
      <c r="BU23" s="96"/>
      <c r="BV23" s="94"/>
      <c r="BW23" s="97"/>
      <c r="BX23" s="93"/>
      <c r="BY23" s="94"/>
      <c r="BZ23" s="95"/>
      <c r="CA23" s="96"/>
      <c r="CB23" s="94"/>
      <c r="CC23" s="95"/>
      <c r="CD23" s="96"/>
      <c r="CE23" s="94"/>
      <c r="CF23" s="95"/>
      <c r="CG23" s="96"/>
      <c r="CH23" s="94"/>
      <c r="CI23" s="97"/>
      <c r="CJ23" s="93"/>
      <c r="CK23" s="94"/>
      <c r="CL23" s="95"/>
      <c r="CM23" s="96"/>
      <c r="CN23" s="94"/>
      <c r="CO23" s="95"/>
      <c r="CP23" s="96"/>
      <c r="CQ23" s="94"/>
      <c r="CR23" s="95"/>
      <c r="CS23" s="96"/>
      <c r="CT23" s="94"/>
      <c r="CU23" s="97"/>
      <c r="CV23" s="93"/>
      <c r="CW23" s="94"/>
      <c r="CX23" s="95"/>
      <c r="CY23" s="96"/>
      <c r="CZ23" s="94"/>
      <c r="DA23" s="95"/>
      <c r="DB23" s="96"/>
      <c r="DC23" s="94"/>
      <c r="DD23" s="95"/>
      <c r="DE23" s="96"/>
      <c r="DF23" s="94"/>
      <c r="DG23" s="97"/>
      <c r="DH23" s="93"/>
      <c r="DI23" s="94"/>
      <c r="DJ23" s="95"/>
      <c r="DK23" s="96"/>
      <c r="DL23" s="94"/>
      <c r="DM23" s="95"/>
      <c r="DN23" s="96"/>
      <c r="DO23" s="94"/>
      <c r="DP23" s="95"/>
      <c r="DQ23" s="96"/>
      <c r="DR23" s="94"/>
      <c r="DS23" s="97"/>
      <c r="DT23" s="93"/>
      <c r="DU23" s="94"/>
      <c r="DV23" s="95"/>
      <c r="DW23" s="96"/>
      <c r="DX23" s="94"/>
      <c r="DY23" s="95"/>
      <c r="DZ23" s="96"/>
      <c r="EA23" s="94"/>
      <c r="EB23" s="95"/>
      <c r="EC23" s="96"/>
      <c r="ED23" s="94"/>
      <c r="EE23" s="97"/>
      <c r="EF23" s="93"/>
      <c r="EG23" s="94"/>
      <c r="EH23" s="95"/>
      <c r="EI23" s="96"/>
      <c r="EJ23" s="94"/>
      <c r="EK23" s="95"/>
      <c r="EL23" s="96"/>
      <c r="EM23" s="94"/>
      <c r="EN23" s="95"/>
      <c r="EO23" s="96"/>
      <c r="EP23" s="94"/>
      <c r="EQ23" s="97"/>
      <c r="ER23" s="93"/>
      <c r="ES23" s="94"/>
      <c r="ET23" s="95"/>
      <c r="EU23" s="96"/>
      <c r="EV23" s="94"/>
      <c r="EW23" s="95"/>
      <c r="EX23" s="96"/>
      <c r="EY23" s="94"/>
      <c r="EZ23" s="95"/>
      <c r="FA23" s="96"/>
      <c r="FB23" s="94"/>
      <c r="FC23" s="97"/>
    </row>
    <row r="24" spans="2:159" ht="19.5" customHeight="1">
      <c r="B24" s="122"/>
      <c r="C24" s="104">
        <v>0</v>
      </c>
      <c r="D24" s="98"/>
      <c r="E24" s="99"/>
      <c r="F24" s="100"/>
      <c r="G24" s="101"/>
      <c r="H24" s="99"/>
      <c r="I24" s="100"/>
      <c r="J24" s="101"/>
      <c r="K24" s="99"/>
      <c r="L24" s="100"/>
      <c r="M24" s="101"/>
      <c r="N24" s="99"/>
      <c r="O24" s="102"/>
      <c r="P24" s="98"/>
      <c r="Q24" s="99"/>
      <c r="R24" s="100"/>
      <c r="S24" s="101"/>
      <c r="T24" s="99"/>
      <c r="U24" s="100"/>
      <c r="V24" s="101"/>
      <c r="W24" s="99"/>
      <c r="X24" s="100"/>
      <c r="Y24" s="101"/>
      <c r="Z24" s="99"/>
      <c r="AA24" s="102"/>
      <c r="AB24" s="98"/>
      <c r="AC24" s="99"/>
      <c r="AD24" s="100"/>
      <c r="AE24" s="101"/>
      <c r="AF24" s="99"/>
      <c r="AG24" s="100"/>
      <c r="AH24" s="101"/>
      <c r="AI24" s="99"/>
      <c r="AJ24" s="100"/>
      <c r="AK24" s="101"/>
      <c r="AL24" s="99"/>
      <c r="AM24" s="102"/>
      <c r="AN24" s="98"/>
      <c r="AO24" s="99"/>
      <c r="AP24" s="100"/>
      <c r="AQ24" s="101"/>
      <c r="AR24" s="99"/>
      <c r="AS24" s="100"/>
      <c r="AT24" s="101"/>
      <c r="AU24" s="99"/>
      <c r="AV24" s="100"/>
      <c r="AW24" s="101"/>
      <c r="AX24" s="99"/>
      <c r="AY24" s="102"/>
      <c r="AZ24" s="98"/>
      <c r="BA24" s="99"/>
      <c r="BB24" s="100"/>
      <c r="BC24" s="101"/>
      <c r="BD24" s="99"/>
      <c r="BE24" s="100"/>
      <c r="BF24" s="101"/>
      <c r="BG24" s="99"/>
      <c r="BH24" s="100"/>
      <c r="BI24" s="101"/>
      <c r="BJ24" s="99"/>
      <c r="BK24" s="102"/>
      <c r="BL24" s="98"/>
      <c r="BM24" s="99"/>
      <c r="BN24" s="100"/>
      <c r="BO24" s="101"/>
      <c r="BP24" s="99"/>
      <c r="BQ24" s="100"/>
      <c r="BR24" s="101"/>
      <c r="BS24" s="99"/>
      <c r="BT24" s="100"/>
      <c r="BU24" s="101"/>
      <c r="BV24" s="99"/>
      <c r="BW24" s="102"/>
      <c r="BX24" s="98"/>
      <c r="BY24" s="99"/>
      <c r="BZ24" s="100"/>
      <c r="CA24" s="101"/>
      <c r="CB24" s="99"/>
      <c r="CC24" s="100"/>
      <c r="CD24" s="101"/>
      <c r="CE24" s="99"/>
      <c r="CF24" s="100"/>
      <c r="CG24" s="101"/>
      <c r="CH24" s="99"/>
      <c r="CI24" s="102"/>
      <c r="CJ24" s="98"/>
      <c r="CK24" s="99"/>
      <c r="CL24" s="100"/>
      <c r="CM24" s="101"/>
      <c r="CN24" s="99"/>
      <c r="CO24" s="100"/>
      <c r="CP24" s="101"/>
      <c r="CQ24" s="99"/>
      <c r="CR24" s="100"/>
      <c r="CS24" s="101"/>
      <c r="CT24" s="99"/>
      <c r="CU24" s="102"/>
      <c r="CV24" s="98"/>
      <c r="CW24" s="99"/>
      <c r="CX24" s="100"/>
      <c r="CY24" s="101"/>
      <c r="CZ24" s="99"/>
      <c r="DA24" s="100"/>
      <c r="DB24" s="101"/>
      <c r="DC24" s="99"/>
      <c r="DD24" s="100"/>
      <c r="DE24" s="101"/>
      <c r="DF24" s="99"/>
      <c r="DG24" s="102"/>
      <c r="DH24" s="98"/>
      <c r="DI24" s="99"/>
      <c r="DJ24" s="100"/>
      <c r="DK24" s="101"/>
      <c r="DL24" s="99"/>
      <c r="DM24" s="100"/>
      <c r="DN24" s="101"/>
      <c r="DO24" s="99"/>
      <c r="DP24" s="100"/>
      <c r="DQ24" s="101"/>
      <c r="DR24" s="99"/>
      <c r="DS24" s="102"/>
      <c r="DT24" s="98"/>
      <c r="DU24" s="99"/>
      <c r="DV24" s="100"/>
      <c r="DW24" s="101"/>
      <c r="DX24" s="99"/>
      <c r="DY24" s="100"/>
      <c r="DZ24" s="101"/>
      <c r="EA24" s="99"/>
      <c r="EB24" s="100"/>
      <c r="EC24" s="101"/>
      <c r="ED24" s="99"/>
      <c r="EE24" s="102"/>
      <c r="EF24" s="98"/>
      <c r="EG24" s="99"/>
      <c r="EH24" s="100"/>
      <c r="EI24" s="101"/>
      <c r="EJ24" s="99"/>
      <c r="EK24" s="100"/>
      <c r="EL24" s="101"/>
      <c r="EM24" s="99"/>
      <c r="EN24" s="100"/>
      <c r="EO24" s="101"/>
      <c r="EP24" s="99"/>
      <c r="EQ24" s="102"/>
      <c r="ER24" s="98"/>
      <c r="ES24" s="99"/>
      <c r="ET24" s="100"/>
      <c r="EU24" s="101"/>
      <c r="EV24" s="99"/>
      <c r="EW24" s="100"/>
      <c r="EX24" s="101"/>
      <c r="EY24" s="99"/>
      <c r="EZ24" s="100"/>
      <c r="FA24" s="101"/>
      <c r="FB24" s="99"/>
      <c r="FC24" s="102"/>
    </row>
    <row r="25" spans="2:159" ht="19.5" customHeight="1">
      <c r="B25" s="25" t="s">
        <v>43</v>
      </c>
      <c r="C25" s="27">
        <f>SUM($C$3,$C$5,$C$7,$C$9,$C$11,$C$13,$C$15,$C$17,$C$19,$C$21,$C$23)</f>
        <v>0</v>
      </c>
      <c r="D25" s="106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8"/>
      <c r="P25" s="106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8"/>
      <c r="AB25" s="106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8"/>
      <c r="AN25" s="106"/>
      <c r="AO25" s="107"/>
      <c r="AP25" s="107"/>
      <c r="AQ25" s="107"/>
      <c r="AR25" s="107"/>
      <c r="AS25" s="107"/>
      <c r="AT25" s="107"/>
      <c r="AU25" s="107"/>
      <c r="AV25" s="107"/>
      <c r="AW25" s="107"/>
      <c r="AX25" s="107"/>
      <c r="AY25" s="108"/>
      <c r="AZ25" s="106"/>
      <c r="BA25" s="107"/>
      <c r="BB25" s="107"/>
      <c r="BC25" s="107"/>
      <c r="BD25" s="107"/>
      <c r="BE25" s="107"/>
      <c r="BF25" s="107"/>
      <c r="BG25" s="107"/>
      <c r="BH25" s="107"/>
      <c r="BI25" s="107"/>
      <c r="BJ25" s="107"/>
      <c r="BK25" s="108"/>
      <c r="BL25" s="106"/>
      <c r="BM25" s="107"/>
      <c r="BN25" s="107"/>
      <c r="BO25" s="107"/>
      <c r="BP25" s="107"/>
      <c r="BQ25" s="107"/>
      <c r="BR25" s="107"/>
      <c r="BS25" s="107"/>
      <c r="BT25" s="107"/>
      <c r="BU25" s="107"/>
      <c r="BV25" s="107"/>
      <c r="BW25" s="108"/>
      <c r="BX25" s="106"/>
      <c r="BY25" s="107"/>
      <c r="BZ25" s="107"/>
      <c r="CA25" s="107"/>
      <c r="CB25" s="107"/>
      <c r="CC25" s="107"/>
      <c r="CD25" s="107"/>
      <c r="CE25" s="107"/>
      <c r="CF25" s="107"/>
      <c r="CG25" s="107"/>
      <c r="CH25" s="107"/>
      <c r="CI25" s="108"/>
      <c r="CJ25" s="106"/>
      <c r="CK25" s="107"/>
      <c r="CL25" s="107"/>
      <c r="CM25" s="107"/>
      <c r="CN25" s="107"/>
      <c r="CO25" s="107"/>
      <c r="CP25" s="107"/>
      <c r="CQ25" s="107"/>
      <c r="CR25" s="107"/>
      <c r="CS25" s="107"/>
      <c r="CT25" s="107"/>
      <c r="CU25" s="108"/>
      <c r="CV25" s="106"/>
      <c r="CW25" s="107"/>
      <c r="CX25" s="107"/>
      <c r="CY25" s="107"/>
      <c r="CZ25" s="107"/>
      <c r="DA25" s="107"/>
      <c r="DB25" s="107"/>
      <c r="DC25" s="107"/>
      <c r="DD25" s="107"/>
      <c r="DE25" s="107"/>
      <c r="DF25" s="107"/>
      <c r="DG25" s="108"/>
      <c r="DH25" s="106"/>
      <c r="DI25" s="107"/>
      <c r="DJ25" s="107"/>
      <c r="DK25" s="107"/>
      <c r="DL25" s="107"/>
      <c r="DM25" s="107"/>
      <c r="DN25" s="107"/>
      <c r="DO25" s="107"/>
      <c r="DP25" s="107"/>
      <c r="DQ25" s="107"/>
      <c r="DR25" s="107"/>
      <c r="DS25" s="108"/>
      <c r="DT25" s="106"/>
      <c r="DU25" s="107"/>
      <c r="DV25" s="107"/>
      <c r="DW25" s="107"/>
      <c r="DX25" s="107"/>
      <c r="DY25" s="107"/>
      <c r="DZ25" s="107"/>
      <c r="EA25" s="107"/>
      <c r="EB25" s="107"/>
      <c r="EC25" s="107"/>
      <c r="ED25" s="107"/>
      <c r="EE25" s="108"/>
      <c r="EF25" s="106"/>
      <c r="EG25" s="107"/>
      <c r="EH25" s="107"/>
      <c r="EI25" s="107"/>
      <c r="EJ25" s="107"/>
      <c r="EK25" s="107"/>
      <c r="EL25" s="107"/>
      <c r="EM25" s="107"/>
      <c r="EN25" s="107"/>
      <c r="EO25" s="107"/>
      <c r="EP25" s="107"/>
      <c r="EQ25" s="108"/>
      <c r="ER25" s="106"/>
      <c r="ES25" s="107"/>
      <c r="ET25" s="107"/>
      <c r="EU25" s="107"/>
      <c r="EV25" s="107"/>
      <c r="EW25" s="107"/>
      <c r="EX25" s="107"/>
      <c r="EY25" s="107"/>
      <c r="EZ25" s="107"/>
      <c r="FA25" s="107"/>
      <c r="FB25" s="107"/>
      <c r="FC25" s="108"/>
    </row>
    <row r="26" spans="2:159" ht="19.5" customHeight="1" thickBot="1">
      <c r="B26" s="26" t="s">
        <v>44</v>
      </c>
      <c r="C26" s="28">
        <f>SUM($C$4,$C$6,$C$8,$C$10,$C$12,$C$14,$C$16,$C$18,$C$20,$C$22,$C$24)</f>
        <v>0</v>
      </c>
      <c r="D26" s="109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1"/>
      <c r="P26" s="109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1"/>
      <c r="AB26" s="109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1"/>
      <c r="AN26" s="109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1"/>
      <c r="AZ26" s="109"/>
      <c r="BA26" s="110"/>
      <c r="BB26" s="110"/>
      <c r="BC26" s="110"/>
      <c r="BD26" s="110"/>
      <c r="BE26" s="110"/>
      <c r="BF26" s="110"/>
      <c r="BG26" s="110"/>
      <c r="BH26" s="110"/>
      <c r="BI26" s="110"/>
      <c r="BJ26" s="110"/>
      <c r="BK26" s="111"/>
      <c r="BL26" s="109"/>
      <c r="BM26" s="110"/>
      <c r="BN26" s="110"/>
      <c r="BO26" s="110"/>
      <c r="BP26" s="110"/>
      <c r="BQ26" s="110"/>
      <c r="BR26" s="110"/>
      <c r="BS26" s="110"/>
      <c r="BT26" s="110"/>
      <c r="BU26" s="110"/>
      <c r="BV26" s="110"/>
      <c r="BW26" s="111"/>
      <c r="BX26" s="109"/>
      <c r="BY26" s="110"/>
      <c r="BZ26" s="110"/>
      <c r="CA26" s="110"/>
      <c r="CB26" s="110"/>
      <c r="CC26" s="110"/>
      <c r="CD26" s="110"/>
      <c r="CE26" s="110"/>
      <c r="CF26" s="110"/>
      <c r="CG26" s="110"/>
      <c r="CH26" s="110"/>
      <c r="CI26" s="111"/>
      <c r="CJ26" s="109"/>
      <c r="CK26" s="110"/>
      <c r="CL26" s="110"/>
      <c r="CM26" s="110"/>
      <c r="CN26" s="110"/>
      <c r="CO26" s="110"/>
      <c r="CP26" s="110"/>
      <c r="CQ26" s="110"/>
      <c r="CR26" s="110"/>
      <c r="CS26" s="110"/>
      <c r="CT26" s="110"/>
      <c r="CU26" s="111"/>
      <c r="CV26" s="109"/>
      <c r="CW26" s="110"/>
      <c r="CX26" s="110"/>
      <c r="CY26" s="110"/>
      <c r="CZ26" s="110"/>
      <c r="DA26" s="110"/>
      <c r="DB26" s="110"/>
      <c r="DC26" s="110"/>
      <c r="DD26" s="110"/>
      <c r="DE26" s="110"/>
      <c r="DF26" s="110"/>
      <c r="DG26" s="111"/>
      <c r="DH26" s="109"/>
      <c r="DI26" s="110"/>
      <c r="DJ26" s="110"/>
      <c r="DK26" s="110"/>
      <c r="DL26" s="110"/>
      <c r="DM26" s="110"/>
      <c r="DN26" s="110"/>
      <c r="DO26" s="110"/>
      <c r="DP26" s="110"/>
      <c r="DQ26" s="110"/>
      <c r="DR26" s="110"/>
      <c r="DS26" s="111"/>
      <c r="DT26" s="109"/>
      <c r="DU26" s="110"/>
      <c r="DV26" s="110"/>
      <c r="DW26" s="110"/>
      <c r="DX26" s="110"/>
      <c r="DY26" s="110"/>
      <c r="DZ26" s="110"/>
      <c r="EA26" s="110"/>
      <c r="EB26" s="110"/>
      <c r="EC26" s="110"/>
      <c r="ED26" s="110"/>
      <c r="EE26" s="111"/>
      <c r="EF26" s="109"/>
      <c r="EG26" s="110"/>
      <c r="EH26" s="110"/>
      <c r="EI26" s="110"/>
      <c r="EJ26" s="110"/>
      <c r="EK26" s="110"/>
      <c r="EL26" s="110"/>
      <c r="EM26" s="110"/>
      <c r="EN26" s="110"/>
      <c r="EO26" s="110"/>
      <c r="EP26" s="110"/>
      <c r="EQ26" s="111"/>
      <c r="ER26" s="109"/>
      <c r="ES26" s="110"/>
      <c r="ET26" s="110"/>
      <c r="EU26" s="110"/>
      <c r="EV26" s="110"/>
      <c r="EW26" s="110"/>
      <c r="EX26" s="110"/>
      <c r="EY26" s="110"/>
      <c r="EZ26" s="110"/>
      <c r="FA26" s="110"/>
      <c r="FB26" s="110"/>
      <c r="FC26" s="111"/>
    </row>
  </sheetData>
  <sheetProtection sheet="1" objects="1" scenarios="1" insertRows="0" selectLockedCells="1"/>
  <mergeCells count="24">
    <mergeCell ref="B11:B12"/>
    <mergeCell ref="B13:B14"/>
    <mergeCell ref="D2:O2"/>
    <mergeCell ref="B3:B4"/>
    <mergeCell ref="B5:B6"/>
    <mergeCell ref="B7:B8"/>
    <mergeCell ref="B9:B10"/>
    <mergeCell ref="B15:B16"/>
    <mergeCell ref="B17:B18"/>
    <mergeCell ref="B19:B20"/>
    <mergeCell ref="B21:B22"/>
    <mergeCell ref="B23:B24"/>
    <mergeCell ref="ER2:FC2"/>
    <mergeCell ref="P2:AA2"/>
    <mergeCell ref="AB2:AM2"/>
    <mergeCell ref="AN2:AY2"/>
    <mergeCell ref="AZ2:BK2"/>
    <mergeCell ref="BL2:BW2"/>
    <mergeCell ref="BX2:CI2"/>
    <mergeCell ref="CJ2:CU2"/>
    <mergeCell ref="CV2:DG2"/>
    <mergeCell ref="DH2:DS2"/>
    <mergeCell ref="DT2:EE2"/>
    <mergeCell ref="EF2:EQ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5" xr:uid="{00000000-0002-0000-0100-000000000000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:D16"/>
  <sheetViews>
    <sheetView workbookViewId="0">
      <selection activeCell="C30" sqref="C30"/>
    </sheetView>
  </sheetViews>
  <sheetFormatPr defaultColWidth="1.5703125" defaultRowHeight="19.5" customHeight="1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>
      <c r="B1" s="21"/>
      <c r="C1" s="21"/>
    </row>
    <row r="2" spans="1:4" ht="42.75" customHeight="1" thickBot="1">
      <c r="A2" s="19"/>
      <c r="B2" s="23" t="s">
        <v>28</v>
      </c>
      <c r="C2" s="15" t="s">
        <v>29</v>
      </c>
    </row>
    <row r="3" spans="1:4" ht="19.5" customHeight="1">
      <c r="A3" s="19"/>
      <c r="B3" s="123" t="s">
        <v>16</v>
      </c>
      <c r="C3" s="16">
        <v>0</v>
      </c>
    </row>
    <row r="4" spans="1:4" ht="19.5" customHeight="1">
      <c r="A4" s="19"/>
      <c r="B4" s="126"/>
      <c r="C4" s="22">
        <v>0</v>
      </c>
      <c r="D4" s="30"/>
    </row>
    <row r="5" spans="1:4" ht="19.5" customHeight="1">
      <c r="B5" s="20"/>
      <c r="C5" s="20"/>
    </row>
    <row r="14" spans="1:4" ht="19.5" customHeight="1">
      <c r="C14" s="20"/>
    </row>
    <row r="15" spans="1:4" ht="19.5" customHeight="1">
      <c r="C15" s="20"/>
    </row>
    <row r="16" spans="1:4" ht="19.5" customHeight="1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B3:E39"/>
  <sheetViews>
    <sheetView workbookViewId="0">
      <selection activeCell="J21" sqref="J21"/>
    </sheetView>
  </sheetViews>
  <sheetFormatPr defaultColWidth="11.42578125" defaultRowHeight="13.5"/>
  <cols>
    <col min="2" max="2" width="51.85546875" customWidth="1"/>
    <col min="3" max="3" width="35" customWidth="1"/>
  </cols>
  <sheetData>
    <row r="3" spans="2:3" ht="27.75" customHeight="1">
      <c r="B3" s="25" t="s">
        <v>43</v>
      </c>
      <c r="C3" s="27">
        <v>0</v>
      </c>
    </row>
    <row r="4" spans="2:3" ht="18.75" thickBot="1">
      <c r="B4" s="26" t="s">
        <v>44</v>
      </c>
      <c r="C4" s="28">
        <v>0</v>
      </c>
    </row>
    <row r="39" spans="5: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3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I34"/>
  <sheetViews>
    <sheetView workbookViewId="0">
      <selection activeCell="D1" sqref="D1"/>
    </sheetView>
  </sheetViews>
  <sheetFormatPr defaultColWidth="11.42578125" defaultRowHeight="13.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>
      <c r="A1" s="6" t="s">
        <v>45</v>
      </c>
      <c r="B1" s="7">
        <v>1</v>
      </c>
      <c r="C1" s="17"/>
      <c r="D1" s="87"/>
    </row>
    <row r="2" spans="1:4" ht="27.75" thickBot="1">
      <c r="A2" s="8" t="s">
        <v>46</v>
      </c>
      <c r="B2" s="18" t="s">
        <v>47</v>
      </c>
      <c r="C2" s="8" t="s">
        <v>48</v>
      </c>
      <c r="D2" s="8" t="s">
        <v>49</v>
      </c>
    </row>
    <row r="3" spans="1:4" s="53" customFormat="1">
      <c r="A3" s="5"/>
      <c r="B3" s="4"/>
      <c r="C3" s="9"/>
      <c r="D3" s="9"/>
    </row>
    <row r="4" spans="1:4" s="53" customFormat="1">
      <c r="A4" s="1"/>
      <c r="B4" s="2"/>
      <c r="C4" s="10"/>
      <c r="D4" s="10"/>
    </row>
    <row r="5" spans="1:4" s="53" customFormat="1">
      <c r="A5" s="1"/>
      <c r="B5" s="2"/>
      <c r="C5" s="10"/>
      <c r="D5" s="10"/>
    </row>
    <row r="6" spans="1:4" s="53" customFormat="1">
      <c r="A6" s="1"/>
      <c r="B6" s="2"/>
      <c r="C6" s="10"/>
      <c r="D6" s="10"/>
    </row>
    <row r="7" spans="1:4" s="53" customFormat="1">
      <c r="A7" s="1"/>
      <c r="B7" s="2"/>
      <c r="C7" s="10"/>
      <c r="D7" s="10"/>
    </row>
    <row r="8" spans="1:4" s="53" customFormat="1">
      <c r="A8" s="1"/>
      <c r="B8" s="2"/>
      <c r="C8" s="10"/>
      <c r="D8" s="10"/>
    </row>
    <row r="9" spans="1:4" s="53" customFormat="1">
      <c r="A9" s="2"/>
      <c r="B9" s="2"/>
      <c r="C9" s="10"/>
      <c r="D9" s="10"/>
    </row>
    <row r="10" spans="1:4" s="53" customFormat="1">
      <c r="A10" s="2"/>
      <c r="B10" s="2"/>
      <c r="C10" s="10"/>
      <c r="D10" s="10"/>
    </row>
    <row r="11" spans="1:4" s="53" customFormat="1">
      <c r="A11" s="2"/>
      <c r="B11" s="2"/>
      <c r="C11" s="10"/>
      <c r="D11" s="10"/>
    </row>
    <row r="12" spans="1:4" s="53" customFormat="1" ht="14.25" thickBot="1">
      <c r="A12" s="3"/>
      <c r="B12" s="3"/>
      <c r="C12" s="11"/>
      <c r="D12" s="11"/>
    </row>
    <row r="13" spans="1:4" ht="14.25" thickBot="1">
      <c r="A13" s="12" t="s">
        <v>50</v>
      </c>
      <c r="B13" s="12">
        <f>SUM(B3:B12)</f>
        <v>0</v>
      </c>
      <c r="C13" s="13"/>
      <c r="D13" s="13"/>
    </row>
    <row r="14" spans="1:4" ht="14.25">
      <c r="A14" s="14"/>
      <c r="B14" s="14"/>
      <c r="C14" s="14"/>
      <c r="D14" s="14"/>
    </row>
    <row r="18" spans="1:9">
      <c r="A18" s="20"/>
      <c r="B18" s="20"/>
      <c r="C18" s="20"/>
      <c r="D18" s="20"/>
    </row>
    <row r="19" spans="1:9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>
      <c r="A21" s="31"/>
      <c r="B21" s="35"/>
      <c r="C21" s="31"/>
      <c r="D21" s="31"/>
      <c r="E21" s="20"/>
      <c r="F21" s="35"/>
      <c r="G21" s="31"/>
      <c r="H21" s="31"/>
      <c r="I21" s="20"/>
    </row>
    <row r="22" spans="1:9">
      <c r="A22" s="36"/>
      <c r="B22" s="37"/>
      <c r="C22" s="38"/>
      <c r="D22" s="38"/>
      <c r="E22" s="20"/>
      <c r="F22" s="37"/>
      <c r="G22" s="38"/>
      <c r="H22" s="38"/>
      <c r="I22" s="20"/>
    </row>
    <row r="23" spans="1:9">
      <c r="A23" s="36"/>
      <c r="B23" s="37"/>
      <c r="C23" s="38"/>
      <c r="D23" s="38"/>
      <c r="E23" s="20"/>
      <c r="F23" s="37"/>
      <c r="G23" s="38"/>
      <c r="H23" s="38"/>
      <c r="I23" s="20"/>
    </row>
    <row r="24" spans="1:9">
      <c r="A24" s="36"/>
      <c r="B24" s="37"/>
      <c r="C24" s="38"/>
      <c r="D24" s="38"/>
      <c r="E24" s="20"/>
      <c r="F24" s="37"/>
      <c r="G24" s="38"/>
      <c r="H24" s="38"/>
      <c r="I24" s="20"/>
    </row>
    <row r="25" spans="1:9">
      <c r="A25" s="36"/>
      <c r="B25" s="37"/>
      <c r="C25" s="38"/>
      <c r="D25" s="38"/>
      <c r="E25" s="20"/>
      <c r="F25" s="37"/>
      <c r="G25" s="38"/>
      <c r="H25" s="38"/>
      <c r="I25" s="20"/>
    </row>
    <row r="26" spans="1:9">
      <c r="A26" s="37"/>
      <c r="B26" s="37"/>
      <c r="C26" s="38"/>
      <c r="D26" s="38"/>
      <c r="E26" s="20"/>
      <c r="F26" s="37"/>
      <c r="G26" s="38"/>
      <c r="H26" s="38"/>
      <c r="I26" s="20"/>
    </row>
    <row r="27" spans="1:9">
      <c r="A27" s="37"/>
      <c r="B27" s="37"/>
      <c r="C27" s="38"/>
      <c r="D27" s="38"/>
      <c r="E27" s="20"/>
      <c r="F27" s="37"/>
      <c r="G27" s="38"/>
      <c r="H27" s="38"/>
      <c r="I27" s="20"/>
    </row>
    <row r="28" spans="1:9">
      <c r="A28" s="37"/>
      <c r="B28" s="37"/>
      <c r="C28" s="38"/>
      <c r="D28" s="38"/>
      <c r="E28" s="20"/>
      <c r="F28" s="37"/>
      <c r="G28" s="38"/>
      <c r="H28" s="38"/>
      <c r="I28" s="20"/>
    </row>
    <row r="29" spans="1:9">
      <c r="A29" s="37"/>
      <c r="B29" s="37"/>
      <c r="C29" s="38"/>
      <c r="D29" s="38"/>
      <c r="E29" s="20"/>
      <c r="F29" s="37"/>
      <c r="G29" s="38"/>
      <c r="H29" s="38"/>
      <c r="I29" s="20"/>
    </row>
    <row r="30" spans="1:9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>
      <c r="A31" s="41"/>
      <c r="B31" s="41"/>
      <c r="C31" s="41"/>
      <c r="D31" s="41"/>
      <c r="E31" s="20"/>
      <c r="F31" s="41"/>
      <c r="G31" s="41"/>
      <c r="H31" s="41"/>
      <c r="I31" s="20"/>
    </row>
    <row r="32" spans="1:9">
      <c r="A32" s="20"/>
      <c r="B32" s="20"/>
      <c r="C32" s="20"/>
      <c r="D32" s="20"/>
      <c r="E32" s="20"/>
      <c r="F32" s="20"/>
      <c r="G32" s="20"/>
      <c r="H32" s="20"/>
      <c r="I32" s="20"/>
    </row>
    <row r="33" spans="5:9">
      <c r="E33" s="20"/>
      <c r="F33" s="20"/>
      <c r="G33" s="20"/>
      <c r="H33" s="20"/>
      <c r="I33" s="20"/>
    </row>
    <row r="34" spans="5:9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4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400-000001000000}">
      <formula1>0</formula1>
    </dataValidation>
    <dataValidation type="list" allowBlank="1" showInputMessage="1" showErrorMessage="1" sqref="A22:A29" xr:uid="{00000000-0002-0000-04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400-000003000000}">
      <formula1>0</formula1>
      <formula2>NbPerWeek * NbQuartPer</formula2>
    </dataValidation>
    <dataValidation type="list" allowBlank="1" showInputMessage="1" showErrorMessage="1" sqref="A3:A12" xr:uid="{00000000-0002-0000-04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A1:I183"/>
  <sheetViews>
    <sheetView workbookViewId="0">
      <selection activeCell="C20" sqref="C20"/>
    </sheetView>
  </sheetViews>
  <sheetFormatPr defaultColWidth="11.42578125" defaultRowHeight="13.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>
      <c r="A1" s="6" t="s">
        <v>45</v>
      </c>
      <c r="B1" s="7">
        <v>1</v>
      </c>
      <c r="C1" s="17"/>
      <c r="D1" s="87"/>
    </row>
    <row r="2" spans="1:4" ht="27.75" thickBot="1">
      <c r="A2" s="8" t="s">
        <v>46</v>
      </c>
      <c r="B2" s="18" t="s">
        <v>47</v>
      </c>
      <c r="C2" s="8" t="s">
        <v>48</v>
      </c>
      <c r="D2" s="8" t="s">
        <v>49</v>
      </c>
    </row>
    <row r="3" spans="1:4" s="53" customFormat="1">
      <c r="A3" s="5" t="s">
        <v>17</v>
      </c>
      <c r="B3" s="4">
        <v>3</v>
      </c>
      <c r="C3" s="113" t="s">
        <v>51</v>
      </c>
      <c r="D3" s="9"/>
    </row>
    <row r="4" spans="1:4" s="53" customFormat="1" ht="27">
      <c r="A4" s="1" t="s">
        <v>18</v>
      </c>
      <c r="B4" s="2">
        <v>3</v>
      </c>
      <c r="C4" s="114" t="s">
        <v>52</v>
      </c>
      <c r="D4" s="10"/>
    </row>
    <row r="5" spans="1:4" s="53" customFormat="1">
      <c r="A5" s="1" t="s">
        <v>19</v>
      </c>
      <c r="B5" s="2">
        <v>5</v>
      </c>
      <c r="C5" s="114" t="s">
        <v>53</v>
      </c>
      <c r="D5" s="10"/>
    </row>
    <row r="6" spans="1:4" s="53" customFormat="1">
      <c r="A6" s="1" t="s">
        <v>26</v>
      </c>
      <c r="B6" s="2">
        <v>1</v>
      </c>
      <c r="C6" s="114" t="s">
        <v>54</v>
      </c>
      <c r="D6" s="10"/>
    </row>
    <row r="7" spans="1:4" s="53" customFormat="1">
      <c r="A7" s="1"/>
      <c r="B7" s="2"/>
      <c r="C7" s="10"/>
      <c r="D7" s="10"/>
    </row>
    <row r="8" spans="1:4" s="53" customFormat="1">
      <c r="A8" s="1"/>
      <c r="B8" s="2"/>
      <c r="C8" s="10"/>
      <c r="D8" s="10"/>
    </row>
    <row r="9" spans="1:4" s="53" customFormat="1">
      <c r="A9" s="2"/>
      <c r="B9" s="2"/>
      <c r="C9" s="10"/>
      <c r="D9" s="10"/>
    </row>
    <row r="10" spans="1:4" s="53" customFormat="1">
      <c r="A10" s="2"/>
      <c r="B10" s="2"/>
      <c r="C10" s="10"/>
      <c r="D10" s="10"/>
    </row>
    <row r="11" spans="1:4" s="53" customFormat="1">
      <c r="A11" s="2"/>
      <c r="B11" s="2"/>
      <c r="C11" s="10"/>
      <c r="D11" s="10"/>
    </row>
    <row r="12" spans="1:4" s="53" customFormat="1" ht="14.25" thickBot="1">
      <c r="A12" s="3"/>
      <c r="B12" s="3"/>
      <c r="C12" s="11"/>
      <c r="D12" s="11"/>
    </row>
    <row r="13" spans="1:4" ht="14.25" thickBot="1">
      <c r="A13" s="12" t="s">
        <v>50</v>
      </c>
      <c r="B13" s="12">
        <f>SUM(B3:B12)</f>
        <v>12</v>
      </c>
      <c r="C13" s="88" t="s">
        <v>55</v>
      </c>
      <c r="D13" s="13"/>
    </row>
    <row r="14" spans="1:4" ht="15" thickBot="1">
      <c r="A14" s="14"/>
      <c r="B14" s="14"/>
      <c r="C14" s="14"/>
      <c r="D14" s="14"/>
    </row>
    <row r="15" spans="1:4" ht="18.75" thickBot="1">
      <c r="A15" s="6" t="s">
        <v>45</v>
      </c>
      <c r="B15" s="7">
        <v>2</v>
      </c>
      <c r="C15" s="17"/>
      <c r="D15" s="87"/>
    </row>
    <row r="16" spans="1:4" ht="27.75" thickBot="1">
      <c r="A16" s="8" t="s">
        <v>46</v>
      </c>
      <c r="B16" s="18" t="s">
        <v>47</v>
      </c>
      <c r="C16" s="8" t="s">
        <v>48</v>
      </c>
      <c r="D16" s="8" t="s">
        <v>49</v>
      </c>
    </row>
    <row r="17" spans="1:9">
      <c r="A17" s="5"/>
      <c r="B17" s="4"/>
      <c r="C17" s="9"/>
      <c r="D17" s="9"/>
    </row>
    <row r="18" spans="1:9">
      <c r="A18" s="1"/>
      <c r="B18" s="2"/>
      <c r="C18" s="10"/>
      <c r="D18" s="10"/>
    </row>
    <row r="19" spans="1:9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>
      <c r="A21" s="1"/>
      <c r="B21" s="2"/>
      <c r="C21" s="10"/>
      <c r="D21" s="10"/>
      <c r="E21" s="20"/>
      <c r="F21" s="35"/>
      <c r="G21" s="31"/>
      <c r="H21" s="31"/>
      <c r="I21" s="20"/>
    </row>
    <row r="22" spans="1:9">
      <c r="A22" s="1"/>
      <c r="B22" s="2"/>
      <c r="C22" s="10"/>
      <c r="D22" s="10"/>
      <c r="E22" s="20"/>
      <c r="F22" s="37"/>
      <c r="G22" s="38"/>
      <c r="H22" s="38"/>
      <c r="I22" s="20"/>
    </row>
    <row r="23" spans="1:9">
      <c r="A23" s="2"/>
      <c r="B23" s="2"/>
      <c r="C23" s="10"/>
      <c r="D23" s="10"/>
      <c r="E23" s="20"/>
      <c r="F23" s="37"/>
      <c r="G23" s="38"/>
      <c r="H23" s="38"/>
      <c r="I23" s="20"/>
    </row>
    <row r="24" spans="1:9">
      <c r="A24" s="2"/>
      <c r="B24" s="2"/>
      <c r="C24" s="10"/>
      <c r="D24" s="10"/>
      <c r="E24" s="20"/>
      <c r="F24" s="37"/>
      <c r="G24" s="38"/>
      <c r="H24" s="38"/>
      <c r="I24" s="20"/>
    </row>
    <row r="25" spans="1:9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>
      <c r="A27" s="12" t="s">
        <v>50</v>
      </c>
      <c r="B27" s="12">
        <f>SUM(B17:B26)</f>
        <v>0</v>
      </c>
      <c r="C27" s="88" t="s">
        <v>55</v>
      </c>
      <c r="D27" s="13"/>
      <c r="E27" s="20"/>
      <c r="F27" s="37"/>
      <c r="G27" s="38"/>
      <c r="H27" s="38"/>
      <c r="I27" s="20"/>
    </row>
    <row r="28" spans="1:9" ht="15" thickBot="1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>
      <c r="A29" s="6" t="s">
        <v>45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>
      <c r="A30" s="8" t="s">
        <v>46</v>
      </c>
      <c r="B30" s="18" t="s">
        <v>47</v>
      </c>
      <c r="C30" s="8" t="s">
        <v>48</v>
      </c>
      <c r="D30" s="8" t="s">
        <v>49</v>
      </c>
      <c r="E30" s="20"/>
      <c r="F30" s="39"/>
      <c r="G30" s="40"/>
      <c r="H30" s="40"/>
      <c r="I30" s="20"/>
    </row>
    <row r="31" spans="1:9" ht="14.25">
      <c r="A31" s="5"/>
      <c r="B31" s="4"/>
      <c r="C31" s="9"/>
      <c r="D31" s="9"/>
      <c r="E31" s="20"/>
      <c r="F31" s="41"/>
      <c r="G31" s="41"/>
      <c r="H31" s="41"/>
      <c r="I31" s="20"/>
    </row>
    <row r="32" spans="1:9">
      <c r="A32" s="1"/>
      <c r="B32" s="2"/>
      <c r="C32" s="10"/>
      <c r="D32" s="10"/>
      <c r="E32" s="20"/>
      <c r="F32" s="20"/>
      <c r="G32" s="20"/>
      <c r="H32" s="20"/>
      <c r="I32" s="20"/>
    </row>
    <row r="33" spans="1:9">
      <c r="A33" s="1"/>
      <c r="B33" s="2"/>
      <c r="C33" s="10"/>
      <c r="D33" s="10"/>
      <c r="E33" s="20"/>
      <c r="F33" s="20"/>
      <c r="G33" s="20"/>
      <c r="H33" s="20"/>
      <c r="I33" s="20"/>
    </row>
    <row r="34" spans="1:9">
      <c r="A34" s="1"/>
      <c r="B34" s="2"/>
      <c r="C34" s="10"/>
      <c r="D34" s="10"/>
      <c r="E34" s="20"/>
      <c r="F34" s="20"/>
      <c r="G34" s="20"/>
      <c r="H34" s="20"/>
      <c r="I34" s="20"/>
    </row>
    <row r="35" spans="1:9">
      <c r="A35" s="1"/>
      <c r="B35" s="2"/>
      <c r="C35" s="10"/>
      <c r="D35" s="10"/>
    </row>
    <row r="36" spans="1:9">
      <c r="A36" s="1"/>
      <c r="B36" s="2"/>
      <c r="C36" s="10"/>
      <c r="D36" s="10"/>
    </row>
    <row r="37" spans="1:9">
      <c r="A37" s="2"/>
      <c r="B37" s="2"/>
      <c r="C37" s="10"/>
      <c r="D37" s="10"/>
    </row>
    <row r="38" spans="1:9">
      <c r="A38" s="2"/>
      <c r="B38" s="2"/>
      <c r="C38" s="10"/>
      <c r="D38" s="10"/>
    </row>
    <row r="39" spans="1:9">
      <c r="A39" s="2"/>
      <c r="B39" s="2"/>
      <c r="C39" s="10"/>
      <c r="D39" s="10"/>
    </row>
    <row r="40" spans="1:9" ht="14.25" thickBot="1">
      <c r="A40" s="3"/>
      <c r="B40" s="3"/>
      <c r="C40" s="11"/>
      <c r="D40" s="11"/>
    </row>
    <row r="41" spans="1:9" ht="14.25" thickBot="1">
      <c r="A41" s="12" t="s">
        <v>50</v>
      </c>
      <c r="B41" s="12">
        <f>SUM(B31:B40)</f>
        <v>0</v>
      </c>
      <c r="C41" s="88" t="s">
        <v>55</v>
      </c>
      <c r="D41" s="13"/>
    </row>
    <row r="42" spans="1:9" ht="15" thickBot="1">
      <c r="A42" s="14"/>
      <c r="B42" s="14"/>
      <c r="C42" s="14"/>
      <c r="D42" s="14"/>
    </row>
    <row r="43" spans="1:9" ht="18.75" thickBot="1">
      <c r="A43" s="6" t="s">
        <v>45</v>
      </c>
      <c r="B43" s="7">
        <v>4</v>
      </c>
      <c r="C43" s="17"/>
      <c r="D43" s="87"/>
    </row>
    <row r="44" spans="1:9" ht="27.75" thickBot="1">
      <c r="A44" s="8" t="s">
        <v>46</v>
      </c>
      <c r="B44" s="18" t="s">
        <v>47</v>
      </c>
      <c r="C44" s="8" t="s">
        <v>48</v>
      </c>
      <c r="D44" s="8" t="s">
        <v>49</v>
      </c>
    </row>
    <row r="45" spans="1:9">
      <c r="A45" s="5"/>
      <c r="B45" s="4"/>
      <c r="C45" s="9"/>
      <c r="D45" s="9"/>
    </row>
    <row r="46" spans="1:9">
      <c r="A46" s="1"/>
      <c r="B46" s="2"/>
      <c r="C46" s="10"/>
      <c r="D46" s="10"/>
    </row>
    <row r="47" spans="1:9">
      <c r="A47" s="1"/>
      <c r="B47" s="2"/>
      <c r="C47" s="10"/>
      <c r="D47" s="10"/>
    </row>
    <row r="48" spans="1:9">
      <c r="A48" s="1"/>
      <c r="B48" s="2"/>
      <c r="C48" s="10"/>
      <c r="D48" s="10"/>
    </row>
    <row r="49" spans="1:4">
      <c r="A49" s="1"/>
      <c r="B49" s="2"/>
      <c r="C49" s="10"/>
      <c r="D49" s="10"/>
    </row>
    <row r="50" spans="1:4">
      <c r="A50" s="1"/>
      <c r="B50" s="2"/>
      <c r="C50" s="10"/>
      <c r="D50" s="10"/>
    </row>
    <row r="51" spans="1:4">
      <c r="A51" s="2"/>
      <c r="B51" s="2"/>
      <c r="C51" s="10"/>
      <c r="D51" s="10"/>
    </row>
    <row r="52" spans="1:4">
      <c r="A52" s="2"/>
      <c r="B52" s="2"/>
      <c r="C52" s="10"/>
      <c r="D52" s="10"/>
    </row>
    <row r="53" spans="1:4">
      <c r="A53" s="2"/>
      <c r="B53" s="2"/>
      <c r="C53" s="10"/>
      <c r="D53" s="10"/>
    </row>
    <row r="54" spans="1:4" ht="14.25" thickBot="1">
      <c r="A54" s="3"/>
      <c r="B54" s="3"/>
      <c r="C54" s="11"/>
      <c r="D54" s="11"/>
    </row>
    <row r="55" spans="1:4" ht="14.25" thickBot="1">
      <c r="A55" s="12" t="s">
        <v>50</v>
      </c>
      <c r="B55" s="12">
        <f>SUM(B45:B54)</f>
        <v>0</v>
      </c>
      <c r="C55" s="88" t="s">
        <v>55</v>
      </c>
      <c r="D55" s="13"/>
    </row>
    <row r="56" spans="1:4" ht="15" thickBot="1">
      <c r="A56" s="14"/>
      <c r="B56" s="14"/>
      <c r="C56" s="14"/>
      <c r="D56" s="14"/>
    </row>
    <row r="57" spans="1:4" ht="18.75" thickBot="1">
      <c r="A57" s="6" t="s">
        <v>45</v>
      </c>
      <c r="B57" s="7">
        <v>5</v>
      </c>
      <c r="C57" s="17"/>
      <c r="D57" s="87"/>
    </row>
    <row r="58" spans="1:4" ht="27.75" thickBot="1">
      <c r="A58" s="8" t="s">
        <v>46</v>
      </c>
      <c r="B58" s="18" t="s">
        <v>47</v>
      </c>
      <c r="C58" s="8" t="s">
        <v>48</v>
      </c>
      <c r="D58" s="8" t="s">
        <v>49</v>
      </c>
    </row>
    <row r="59" spans="1:4">
      <c r="A59" s="5"/>
      <c r="B59" s="4"/>
      <c r="C59" s="9"/>
      <c r="D59" s="9"/>
    </row>
    <row r="60" spans="1:4">
      <c r="A60" s="1"/>
      <c r="B60" s="2"/>
      <c r="C60" s="10"/>
      <c r="D60" s="10"/>
    </row>
    <row r="61" spans="1:4">
      <c r="A61" s="1"/>
      <c r="B61" s="2"/>
      <c r="C61" s="10"/>
      <c r="D61" s="10"/>
    </row>
    <row r="62" spans="1:4">
      <c r="A62" s="1"/>
      <c r="B62" s="2"/>
      <c r="C62" s="10"/>
      <c r="D62" s="10"/>
    </row>
    <row r="63" spans="1:4">
      <c r="A63" s="1"/>
      <c r="B63" s="2"/>
      <c r="C63" s="10"/>
      <c r="D63" s="10"/>
    </row>
    <row r="64" spans="1:4">
      <c r="A64" s="1"/>
      <c r="B64" s="2"/>
      <c r="C64" s="10"/>
      <c r="D64" s="10"/>
    </row>
    <row r="65" spans="1:4">
      <c r="A65" s="2"/>
      <c r="B65" s="2"/>
      <c r="C65" s="10"/>
      <c r="D65" s="10"/>
    </row>
    <row r="66" spans="1:4">
      <c r="A66" s="2"/>
      <c r="B66" s="2"/>
      <c r="C66" s="10"/>
      <c r="D66" s="10"/>
    </row>
    <row r="67" spans="1:4">
      <c r="A67" s="2"/>
      <c r="B67" s="2"/>
      <c r="C67" s="10"/>
      <c r="D67" s="10"/>
    </row>
    <row r="68" spans="1:4" ht="14.25" thickBot="1">
      <c r="A68" s="3"/>
      <c r="B68" s="3"/>
      <c r="C68" s="11"/>
      <c r="D68" s="11"/>
    </row>
    <row r="69" spans="1:4" ht="14.25" thickBot="1">
      <c r="A69" s="12" t="s">
        <v>50</v>
      </c>
      <c r="B69" s="12">
        <f>SUM(B59:B68)</f>
        <v>0</v>
      </c>
      <c r="C69" s="88" t="s">
        <v>55</v>
      </c>
      <c r="D69" s="13"/>
    </row>
    <row r="70" spans="1:4" ht="15" thickBot="1">
      <c r="A70" s="14"/>
      <c r="B70" s="14"/>
      <c r="C70" s="14"/>
      <c r="D70" s="14"/>
    </row>
    <row r="71" spans="1:4" ht="18.75" thickBot="1">
      <c r="A71" s="6" t="s">
        <v>45</v>
      </c>
      <c r="B71" s="7">
        <v>6</v>
      </c>
      <c r="C71" s="17"/>
      <c r="D71" s="87"/>
    </row>
    <row r="72" spans="1:4" ht="27.75" thickBot="1">
      <c r="A72" s="8" t="s">
        <v>46</v>
      </c>
      <c r="B72" s="18" t="s">
        <v>47</v>
      </c>
      <c r="C72" s="8" t="s">
        <v>48</v>
      </c>
      <c r="D72" s="8" t="s">
        <v>49</v>
      </c>
    </row>
    <row r="73" spans="1:4">
      <c r="A73" s="5"/>
      <c r="B73" s="4"/>
      <c r="C73" s="9"/>
      <c r="D73" s="9"/>
    </row>
    <row r="74" spans="1:4">
      <c r="A74" s="1"/>
      <c r="B74" s="2"/>
      <c r="C74" s="10"/>
      <c r="D74" s="10"/>
    </row>
    <row r="75" spans="1:4">
      <c r="A75" s="1"/>
      <c r="B75" s="2"/>
      <c r="C75" s="10"/>
      <c r="D75" s="10"/>
    </row>
    <row r="76" spans="1:4">
      <c r="A76" s="1"/>
      <c r="B76" s="2"/>
      <c r="C76" s="10"/>
      <c r="D76" s="10"/>
    </row>
    <row r="77" spans="1:4">
      <c r="A77" s="1"/>
      <c r="B77" s="2"/>
      <c r="C77" s="10"/>
      <c r="D77" s="10"/>
    </row>
    <row r="78" spans="1:4">
      <c r="A78" s="1"/>
      <c r="B78" s="2"/>
      <c r="C78" s="10"/>
      <c r="D78" s="10"/>
    </row>
    <row r="79" spans="1:4">
      <c r="A79" s="2"/>
      <c r="B79" s="2"/>
      <c r="C79" s="10"/>
      <c r="D79" s="10"/>
    </row>
    <row r="80" spans="1:4">
      <c r="A80" s="2"/>
      <c r="B80" s="2"/>
      <c r="C80" s="10"/>
      <c r="D80" s="10"/>
    </row>
    <row r="81" spans="1:4">
      <c r="A81" s="2"/>
      <c r="B81" s="2"/>
      <c r="C81" s="10"/>
      <c r="D81" s="10"/>
    </row>
    <row r="82" spans="1:4" ht="14.25" thickBot="1">
      <c r="A82" s="3"/>
      <c r="B82" s="3"/>
      <c r="C82" s="11"/>
      <c r="D82" s="11"/>
    </row>
    <row r="83" spans="1:4" ht="14.25" thickBot="1">
      <c r="A83" s="12" t="s">
        <v>50</v>
      </c>
      <c r="B83" s="12">
        <f>SUM(B73:B82)</f>
        <v>0</v>
      </c>
      <c r="C83" s="88" t="s">
        <v>55</v>
      </c>
      <c r="D83" s="13"/>
    </row>
    <row r="84" spans="1:4" ht="15" thickBot="1">
      <c r="A84" s="14"/>
      <c r="B84" s="14"/>
      <c r="C84" s="14"/>
      <c r="D84" s="14"/>
    </row>
    <row r="85" spans="1:4" ht="18.75" thickBot="1">
      <c r="A85" s="6" t="s">
        <v>45</v>
      </c>
      <c r="B85" s="7">
        <v>7</v>
      </c>
      <c r="C85" s="17"/>
      <c r="D85" s="87"/>
    </row>
    <row r="86" spans="1:4" ht="27.75" thickBot="1">
      <c r="A86" s="8" t="s">
        <v>46</v>
      </c>
      <c r="B86" s="18" t="s">
        <v>47</v>
      </c>
      <c r="C86" s="8" t="s">
        <v>48</v>
      </c>
      <c r="D86" s="8" t="s">
        <v>49</v>
      </c>
    </row>
    <row r="87" spans="1:4">
      <c r="A87" s="5"/>
      <c r="B87" s="4"/>
      <c r="C87" s="9"/>
      <c r="D87" s="9"/>
    </row>
    <row r="88" spans="1:4">
      <c r="A88" s="1"/>
      <c r="B88" s="2"/>
      <c r="C88" s="10"/>
      <c r="D88" s="10"/>
    </row>
    <row r="89" spans="1:4">
      <c r="A89" s="1"/>
      <c r="B89" s="2"/>
      <c r="C89" s="10"/>
      <c r="D89" s="10"/>
    </row>
    <row r="90" spans="1:4">
      <c r="A90" s="1"/>
      <c r="B90" s="2"/>
      <c r="C90" s="10"/>
      <c r="D90" s="10"/>
    </row>
    <row r="91" spans="1:4">
      <c r="A91" s="1"/>
      <c r="B91" s="2"/>
      <c r="C91" s="10"/>
      <c r="D91" s="10"/>
    </row>
    <row r="92" spans="1:4">
      <c r="A92" s="1"/>
      <c r="B92" s="2"/>
      <c r="C92" s="10"/>
      <c r="D92" s="10"/>
    </row>
    <row r="93" spans="1:4">
      <c r="A93" s="2"/>
      <c r="B93" s="2"/>
      <c r="C93" s="10"/>
      <c r="D93" s="10"/>
    </row>
    <row r="94" spans="1:4">
      <c r="A94" s="2"/>
      <c r="B94" s="2"/>
      <c r="C94" s="10"/>
      <c r="D94" s="10"/>
    </row>
    <row r="95" spans="1:4">
      <c r="A95" s="2"/>
      <c r="B95" s="2"/>
      <c r="C95" s="10"/>
      <c r="D95" s="10"/>
    </row>
    <row r="96" spans="1:4" ht="14.25" thickBot="1">
      <c r="A96" s="3"/>
      <c r="B96" s="3"/>
      <c r="C96" s="11"/>
      <c r="D96" s="11"/>
    </row>
    <row r="97" spans="1:4" ht="14.25" thickBot="1">
      <c r="A97" s="12" t="s">
        <v>50</v>
      </c>
      <c r="B97" s="12">
        <f>SUM(B87:B96)</f>
        <v>0</v>
      </c>
      <c r="C97" s="88" t="s">
        <v>55</v>
      </c>
      <c r="D97" s="13"/>
    </row>
    <row r="98" spans="1:4" ht="15" thickBot="1">
      <c r="A98" s="14"/>
      <c r="B98" s="14"/>
      <c r="C98" s="14"/>
      <c r="D98" s="14"/>
    </row>
    <row r="99" spans="1:4" ht="18.75" thickBot="1">
      <c r="A99" s="6" t="s">
        <v>45</v>
      </c>
      <c r="B99" s="7">
        <v>8</v>
      </c>
      <c r="C99" s="17"/>
      <c r="D99" s="87"/>
    </row>
    <row r="100" spans="1:4" ht="27.75" thickBot="1">
      <c r="A100" s="8" t="s">
        <v>46</v>
      </c>
      <c r="B100" s="18" t="s">
        <v>47</v>
      </c>
      <c r="C100" s="8" t="s">
        <v>48</v>
      </c>
      <c r="D100" s="8" t="s">
        <v>49</v>
      </c>
    </row>
    <row r="101" spans="1:4">
      <c r="A101" s="5"/>
      <c r="B101" s="4"/>
      <c r="C101" s="9"/>
      <c r="D101" s="9"/>
    </row>
    <row r="102" spans="1:4">
      <c r="A102" s="1"/>
      <c r="B102" s="2"/>
      <c r="C102" s="10"/>
      <c r="D102" s="10"/>
    </row>
    <row r="103" spans="1:4">
      <c r="A103" s="1"/>
      <c r="B103" s="2"/>
      <c r="C103" s="10"/>
      <c r="D103" s="10"/>
    </row>
    <row r="104" spans="1:4">
      <c r="A104" s="1"/>
      <c r="B104" s="2"/>
      <c r="C104" s="10"/>
      <c r="D104" s="10"/>
    </row>
    <row r="105" spans="1:4">
      <c r="A105" s="1"/>
      <c r="B105" s="2"/>
      <c r="C105" s="10"/>
      <c r="D105" s="10"/>
    </row>
    <row r="106" spans="1:4">
      <c r="A106" s="1"/>
      <c r="B106" s="2"/>
      <c r="C106" s="10"/>
      <c r="D106" s="10"/>
    </row>
    <row r="107" spans="1:4">
      <c r="A107" s="2"/>
      <c r="B107" s="2"/>
      <c r="C107" s="10"/>
      <c r="D107" s="10"/>
    </row>
    <row r="108" spans="1:4">
      <c r="A108" s="2"/>
      <c r="B108" s="2"/>
      <c r="C108" s="10"/>
      <c r="D108" s="10"/>
    </row>
    <row r="109" spans="1:4">
      <c r="A109" s="2"/>
      <c r="B109" s="2"/>
      <c r="C109" s="10"/>
      <c r="D109" s="10"/>
    </row>
    <row r="110" spans="1:4" ht="14.25" thickBot="1">
      <c r="A110" s="3"/>
      <c r="B110" s="3"/>
      <c r="C110" s="11"/>
      <c r="D110" s="11"/>
    </row>
    <row r="111" spans="1:4" ht="14.25" thickBot="1">
      <c r="A111" s="12" t="s">
        <v>50</v>
      </c>
      <c r="B111" s="12">
        <f>SUM(B101:B110)</f>
        <v>0</v>
      </c>
      <c r="C111" s="88" t="s">
        <v>55</v>
      </c>
      <c r="D111" s="13"/>
    </row>
    <row r="112" spans="1:4" ht="15" thickBot="1">
      <c r="A112" s="14"/>
      <c r="B112" s="14"/>
      <c r="C112" s="14"/>
      <c r="D112" s="14"/>
    </row>
    <row r="113" spans="1:4" ht="18.75" thickBot="1">
      <c r="A113" s="6" t="s">
        <v>45</v>
      </c>
      <c r="B113" s="7">
        <v>9</v>
      </c>
      <c r="C113" s="17"/>
      <c r="D113" s="87"/>
    </row>
    <row r="114" spans="1:4" ht="27.75" thickBot="1">
      <c r="A114" s="8" t="s">
        <v>46</v>
      </c>
      <c r="B114" s="18" t="s">
        <v>47</v>
      </c>
      <c r="C114" s="8" t="s">
        <v>48</v>
      </c>
      <c r="D114" s="8" t="s">
        <v>49</v>
      </c>
    </row>
    <row r="115" spans="1:4">
      <c r="A115" s="5"/>
      <c r="B115" s="4"/>
      <c r="C115" s="9"/>
      <c r="D115" s="9"/>
    </row>
    <row r="116" spans="1:4">
      <c r="A116" s="1"/>
      <c r="B116" s="2"/>
      <c r="C116" s="10"/>
      <c r="D116" s="10"/>
    </row>
    <row r="117" spans="1:4">
      <c r="A117" s="1"/>
      <c r="B117" s="2"/>
      <c r="C117" s="10"/>
      <c r="D117" s="10"/>
    </row>
    <row r="118" spans="1:4">
      <c r="A118" s="1"/>
      <c r="B118" s="2"/>
      <c r="C118" s="10"/>
      <c r="D118" s="10"/>
    </row>
    <row r="119" spans="1:4">
      <c r="A119" s="1"/>
      <c r="B119" s="2"/>
      <c r="C119" s="10"/>
      <c r="D119" s="10"/>
    </row>
    <row r="120" spans="1:4">
      <c r="A120" s="1"/>
      <c r="B120" s="2"/>
      <c r="C120" s="10"/>
      <c r="D120" s="10"/>
    </row>
    <row r="121" spans="1:4">
      <c r="A121" s="2"/>
      <c r="B121" s="2"/>
      <c r="C121" s="10"/>
      <c r="D121" s="10"/>
    </row>
    <row r="122" spans="1:4">
      <c r="A122" s="2"/>
      <c r="B122" s="2"/>
      <c r="C122" s="10"/>
      <c r="D122" s="10"/>
    </row>
    <row r="123" spans="1:4">
      <c r="A123" s="2"/>
      <c r="B123" s="2"/>
      <c r="C123" s="10"/>
      <c r="D123" s="10"/>
    </row>
    <row r="124" spans="1:4" ht="14.25" thickBot="1">
      <c r="A124" s="3"/>
      <c r="B124" s="3"/>
      <c r="C124" s="11"/>
      <c r="D124" s="11"/>
    </row>
    <row r="125" spans="1:4" ht="14.25" thickBot="1">
      <c r="A125" s="12" t="s">
        <v>50</v>
      </c>
      <c r="B125" s="12">
        <f>SUM(B115:B124)</f>
        <v>0</v>
      </c>
      <c r="C125" s="88" t="s">
        <v>55</v>
      </c>
      <c r="D125" s="13"/>
    </row>
    <row r="126" spans="1:4" ht="15" thickBot="1">
      <c r="A126" s="14"/>
      <c r="B126" s="14"/>
      <c r="C126" s="14"/>
      <c r="D126" s="14"/>
    </row>
    <row r="127" spans="1:4" ht="18.75" thickBot="1">
      <c r="A127" s="6" t="s">
        <v>45</v>
      </c>
      <c r="B127" s="7">
        <v>10</v>
      </c>
      <c r="C127" s="17"/>
      <c r="D127" s="87"/>
    </row>
    <row r="128" spans="1:4" ht="27.75" thickBot="1">
      <c r="A128" s="8" t="s">
        <v>46</v>
      </c>
      <c r="B128" s="18" t="s">
        <v>47</v>
      </c>
      <c r="C128" s="8" t="s">
        <v>48</v>
      </c>
      <c r="D128" s="8" t="s">
        <v>49</v>
      </c>
    </row>
    <row r="129" spans="1:4">
      <c r="A129" s="5"/>
      <c r="B129" s="4"/>
      <c r="C129" s="9"/>
      <c r="D129" s="9"/>
    </row>
    <row r="130" spans="1:4">
      <c r="A130" s="1"/>
      <c r="B130" s="2"/>
      <c r="C130" s="10"/>
      <c r="D130" s="10"/>
    </row>
    <row r="131" spans="1:4">
      <c r="A131" s="1"/>
      <c r="B131" s="2"/>
      <c r="C131" s="10"/>
      <c r="D131" s="10"/>
    </row>
    <row r="132" spans="1:4">
      <c r="A132" s="1"/>
      <c r="B132" s="2"/>
      <c r="C132" s="10"/>
      <c r="D132" s="10"/>
    </row>
    <row r="133" spans="1:4">
      <c r="A133" s="1"/>
      <c r="B133" s="2"/>
      <c r="C133" s="10"/>
      <c r="D133" s="10"/>
    </row>
    <row r="134" spans="1:4">
      <c r="A134" s="1"/>
      <c r="B134" s="2"/>
      <c r="C134" s="10"/>
      <c r="D134" s="10"/>
    </row>
    <row r="135" spans="1:4">
      <c r="A135" s="2"/>
      <c r="B135" s="2"/>
      <c r="C135" s="10"/>
      <c r="D135" s="10"/>
    </row>
    <row r="136" spans="1:4">
      <c r="A136" s="2"/>
      <c r="B136" s="2"/>
      <c r="C136" s="10"/>
      <c r="D136" s="10"/>
    </row>
    <row r="137" spans="1:4">
      <c r="A137" s="2"/>
      <c r="B137" s="2"/>
      <c r="C137" s="10"/>
      <c r="D137" s="10"/>
    </row>
    <row r="138" spans="1:4" ht="14.25" thickBot="1">
      <c r="A138" s="3"/>
      <c r="B138" s="3"/>
      <c r="C138" s="11"/>
      <c r="D138" s="11"/>
    </row>
    <row r="139" spans="1:4" ht="14.25" thickBot="1">
      <c r="A139" s="12" t="s">
        <v>50</v>
      </c>
      <c r="B139" s="12">
        <f>SUM(B129:B138)</f>
        <v>0</v>
      </c>
      <c r="C139" s="88" t="s">
        <v>55</v>
      </c>
      <c r="D139" s="13"/>
    </row>
    <row r="140" spans="1:4" ht="15" thickBot="1">
      <c r="A140" s="14"/>
      <c r="B140" s="14"/>
      <c r="C140" s="14"/>
      <c r="D140" s="14"/>
    </row>
    <row r="141" spans="1:4" ht="18.75" thickBot="1">
      <c r="A141" s="6" t="s">
        <v>45</v>
      </c>
      <c r="B141" s="7">
        <v>11</v>
      </c>
      <c r="C141" s="17"/>
      <c r="D141" s="87"/>
    </row>
    <row r="142" spans="1:4" ht="27.75" thickBot="1">
      <c r="A142" s="8" t="s">
        <v>46</v>
      </c>
      <c r="B142" s="18" t="s">
        <v>47</v>
      </c>
      <c r="C142" s="8" t="s">
        <v>48</v>
      </c>
      <c r="D142" s="8" t="s">
        <v>49</v>
      </c>
    </row>
    <row r="143" spans="1:4">
      <c r="A143" s="5"/>
      <c r="B143" s="4"/>
      <c r="C143" s="9"/>
      <c r="D143" s="9"/>
    </row>
    <row r="144" spans="1:4">
      <c r="A144" s="1"/>
      <c r="B144" s="2"/>
      <c r="C144" s="10"/>
      <c r="D144" s="10"/>
    </row>
    <row r="145" spans="1:4">
      <c r="A145" s="1"/>
      <c r="B145" s="2"/>
      <c r="C145" s="10"/>
      <c r="D145" s="10"/>
    </row>
    <row r="146" spans="1:4">
      <c r="A146" s="1"/>
      <c r="B146" s="2"/>
      <c r="C146" s="10"/>
      <c r="D146" s="10"/>
    </row>
    <row r="147" spans="1:4">
      <c r="A147" s="1"/>
      <c r="B147" s="2"/>
      <c r="C147" s="10"/>
      <c r="D147" s="10"/>
    </row>
    <row r="148" spans="1:4">
      <c r="A148" s="1"/>
      <c r="B148" s="2"/>
      <c r="C148" s="10"/>
      <c r="D148" s="10"/>
    </row>
    <row r="149" spans="1:4">
      <c r="A149" s="2"/>
      <c r="B149" s="2"/>
      <c r="C149" s="10"/>
      <c r="D149" s="10"/>
    </row>
    <row r="150" spans="1:4">
      <c r="A150" s="2"/>
      <c r="B150" s="2"/>
      <c r="C150" s="10"/>
      <c r="D150" s="10"/>
    </row>
    <row r="151" spans="1:4">
      <c r="A151" s="2"/>
      <c r="B151" s="2"/>
      <c r="C151" s="10"/>
      <c r="D151" s="10"/>
    </row>
    <row r="152" spans="1:4" ht="14.25" thickBot="1">
      <c r="A152" s="3"/>
      <c r="B152" s="3"/>
      <c r="C152" s="11"/>
      <c r="D152" s="11"/>
    </row>
    <row r="153" spans="1:4" ht="14.25" thickBot="1">
      <c r="A153" s="12" t="s">
        <v>50</v>
      </c>
      <c r="B153" s="12">
        <f>SUM(B143:B152)</f>
        <v>0</v>
      </c>
      <c r="C153" s="88" t="s">
        <v>55</v>
      </c>
      <c r="D153" s="13"/>
    </row>
    <row r="154" spans="1:4" ht="15" thickBot="1">
      <c r="A154" s="14"/>
      <c r="B154" s="14"/>
      <c r="C154" s="14"/>
      <c r="D154" s="14"/>
    </row>
    <row r="155" spans="1:4" ht="18.75" thickBot="1">
      <c r="A155" s="6" t="s">
        <v>45</v>
      </c>
      <c r="B155" s="7">
        <v>12</v>
      </c>
      <c r="C155" s="17"/>
      <c r="D155" s="87"/>
    </row>
    <row r="156" spans="1:4" ht="27.75" thickBot="1">
      <c r="A156" s="8" t="s">
        <v>46</v>
      </c>
      <c r="B156" s="18" t="s">
        <v>47</v>
      </c>
      <c r="C156" s="8" t="s">
        <v>48</v>
      </c>
      <c r="D156" s="8" t="s">
        <v>49</v>
      </c>
    </row>
    <row r="157" spans="1:4">
      <c r="A157" s="5"/>
      <c r="B157" s="4"/>
      <c r="C157" s="9"/>
      <c r="D157" s="9"/>
    </row>
    <row r="158" spans="1:4">
      <c r="A158" s="1"/>
      <c r="B158" s="2"/>
      <c r="C158" s="10"/>
      <c r="D158" s="10"/>
    </row>
    <row r="159" spans="1:4">
      <c r="A159" s="1"/>
      <c r="B159" s="2"/>
      <c r="C159" s="10"/>
      <c r="D159" s="10"/>
    </row>
    <row r="160" spans="1:4">
      <c r="A160" s="1"/>
      <c r="B160" s="2"/>
      <c r="C160" s="10"/>
      <c r="D160" s="10"/>
    </row>
    <row r="161" spans="1:4">
      <c r="A161" s="1"/>
      <c r="B161" s="2"/>
      <c r="C161" s="10"/>
      <c r="D161" s="10"/>
    </row>
    <row r="162" spans="1:4">
      <c r="A162" s="1"/>
      <c r="B162" s="2"/>
      <c r="C162" s="10"/>
      <c r="D162" s="10"/>
    </row>
    <row r="163" spans="1:4">
      <c r="A163" s="2"/>
      <c r="B163" s="2"/>
      <c r="C163" s="10"/>
      <c r="D163" s="10"/>
    </row>
    <row r="164" spans="1:4">
      <c r="A164" s="2"/>
      <c r="B164" s="2"/>
      <c r="C164" s="10"/>
      <c r="D164" s="10"/>
    </row>
    <row r="165" spans="1:4">
      <c r="A165" s="2"/>
      <c r="B165" s="2"/>
      <c r="C165" s="10"/>
      <c r="D165" s="10"/>
    </row>
    <row r="166" spans="1:4" ht="14.25" thickBot="1">
      <c r="A166" s="3"/>
      <c r="B166" s="3"/>
      <c r="C166" s="11"/>
      <c r="D166" s="11"/>
    </row>
    <row r="167" spans="1:4" ht="14.25" thickBot="1">
      <c r="A167" s="12" t="s">
        <v>50</v>
      </c>
      <c r="B167" s="12">
        <f>SUM(B157:B166)</f>
        <v>0</v>
      </c>
      <c r="C167" s="88" t="s">
        <v>55</v>
      </c>
      <c r="D167" s="13"/>
    </row>
    <row r="168" spans="1:4" ht="15" thickBot="1">
      <c r="A168" s="14"/>
      <c r="B168" s="14"/>
      <c r="C168" s="14"/>
      <c r="D168" s="14"/>
    </row>
    <row r="169" spans="1:4" ht="18.75" thickBot="1">
      <c r="A169" s="6" t="s">
        <v>45</v>
      </c>
      <c r="B169" s="7">
        <v>13</v>
      </c>
      <c r="C169" s="17"/>
      <c r="D169" s="87"/>
    </row>
    <row r="170" spans="1:4" ht="27.75" thickBot="1">
      <c r="A170" s="8" t="s">
        <v>46</v>
      </c>
      <c r="B170" s="18" t="s">
        <v>47</v>
      </c>
      <c r="C170" s="8" t="s">
        <v>48</v>
      </c>
      <c r="D170" s="8" t="s">
        <v>49</v>
      </c>
    </row>
    <row r="171" spans="1:4">
      <c r="A171" s="5"/>
      <c r="B171" s="4"/>
      <c r="C171" s="9"/>
      <c r="D171" s="9"/>
    </row>
    <row r="172" spans="1:4">
      <c r="A172" s="1"/>
      <c r="B172" s="2"/>
      <c r="C172" s="10"/>
      <c r="D172" s="10"/>
    </row>
    <row r="173" spans="1:4">
      <c r="A173" s="1"/>
      <c r="B173" s="2"/>
      <c r="C173" s="10"/>
      <c r="D173" s="10"/>
    </row>
    <row r="174" spans="1:4">
      <c r="A174" s="1"/>
      <c r="B174" s="2"/>
      <c r="C174" s="10"/>
      <c r="D174" s="10"/>
    </row>
    <row r="175" spans="1:4">
      <c r="A175" s="1"/>
      <c r="B175" s="2"/>
      <c r="C175" s="10"/>
      <c r="D175" s="10"/>
    </row>
    <row r="176" spans="1:4">
      <c r="A176" s="1"/>
      <c r="B176" s="2"/>
      <c r="C176" s="10"/>
      <c r="D176" s="10"/>
    </row>
    <row r="177" spans="1:4">
      <c r="A177" s="2"/>
      <c r="B177" s="2"/>
      <c r="C177" s="10"/>
      <c r="D177" s="10"/>
    </row>
    <row r="178" spans="1:4">
      <c r="A178" s="2"/>
      <c r="B178" s="2"/>
      <c r="C178" s="10"/>
      <c r="D178" s="10"/>
    </row>
    <row r="179" spans="1:4">
      <c r="A179" s="2"/>
      <c r="B179" s="2"/>
      <c r="C179" s="10"/>
      <c r="D179" s="10"/>
    </row>
    <row r="180" spans="1:4" ht="14.25" thickBot="1">
      <c r="A180" s="3"/>
      <c r="B180" s="3"/>
      <c r="C180" s="11"/>
      <c r="D180" s="11"/>
    </row>
    <row r="181" spans="1:4" ht="14.25" thickBot="1">
      <c r="A181" s="12" t="s">
        <v>50</v>
      </c>
      <c r="B181" s="12">
        <f>SUM(B171:B180)</f>
        <v>0</v>
      </c>
      <c r="C181" s="88" t="s">
        <v>55</v>
      </c>
      <c r="D181" s="13"/>
    </row>
    <row r="182" spans="1:4" ht="14.25">
      <c r="A182" s="14"/>
      <c r="B182" s="14"/>
      <c r="C182" s="14"/>
      <c r="D182" s="14"/>
    </row>
    <row r="183" spans="1:4">
      <c r="A183" s="89" t="s">
        <v>56</v>
      </c>
    </row>
  </sheetData>
  <sheetProtection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" xr:uid="{00000000-0002-0000-05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" xr:uid="{00000000-0002-0000-0500-000001000000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" xr:uid="{00000000-0002-0000-0500-000002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00000000-0002-0000-0500-000003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427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4273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/>
  <dimension ref="A1:I39"/>
  <sheetViews>
    <sheetView workbookViewId="0">
      <selection activeCell="D1" sqref="D1"/>
    </sheetView>
  </sheetViews>
  <sheetFormatPr defaultColWidth="11.42578125" defaultRowHeight="13.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>
      <c r="A1" s="43" t="s">
        <v>45</v>
      </c>
      <c r="B1" s="44">
        <v>1</v>
      </c>
      <c r="C1" s="45" t="s">
        <v>57</v>
      </c>
      <c r="D1" s="54"/>
    </row>
    <row r="2" spans="1:4" ht="27.75" thickBot="1">
      <c r="A2" s="46" t="s">
        <v>46</v>
      </c>
      <c r="B2" s="47" t="s">
        <v>47</v>
      </c>
      <c r="C2" s="46" t="s">
        <v>48</v>
      </c>
      <c r="D2" s="46" t="s">
        <v>49</v>
      </c>
    </row>
    <row r="3" spans="1:4" s="53" customFormat="1">
      <c r="A3" s="5"/>
      <c r="B3" s="4"/>
      <c r="C3" s="9"/>
      <c r="D3" s="9"/>
    </row>
    <row r="4" spans="1:4" s="53" customFormat="1">
      <c r="A4" s="1"/>
      <c r="B4" s="2"/>
      <c r="C4" s="10"/>
      <c r="D4" s="10"/>
    </row>
    <row r="5" spans="1:4" s="53" customFormat="1">
      <c r="A5" s="1"/>
      <c r="B5" s="2"/>
      <c r="C5" s="10"/>
      <c r="D5" s="10"/>
    </row>
    <row r="6" spans="1:4" s="53" customFormat="1">
      <c r="A6" s="1"/>
      <c r="B6" s="2"/>
      <c r="C6" s="10"/>
      <c r="D6" s="10"/>
    </row>
    <row r="7" spans="1:4" s="53" customFormat="1">
      <c r="A7" s="1"/>
      <c r="B7" s="2"/>
      <c r="C7" s="10"/>
      <c r="D7" s="10"/>
    </row>
    <row r="8" spans="1:4" s="53" customFormat="1">
      <c r="A8" s="1"/>
      <c r="B8" s="2"/>
      <c r="C8" s="10"/>
      <c r="D8" s="10"/>
    </row>
    <row r="9" spans="1:4" s="53" customFormat="1">
      <c r="A9" s="1"/>
      <c r="B9" s="2"/>
      <c r="C9" s="10"/>
      <c r="D9" s="10"/>
    </row>
    <row r="10" spans="1:4" s="53" customFormat="1">
      <c r="A10" s="1"/>
      <c r="B10" s="2"/>
      <c r="C10" s="10"/>
      <c r="D10" s="10"/>
    </row>
    <row r="11" spans="1:4" s="53" customFormat="1">
      <c r="A11" s="1"/>
      <c r="B11" s="2"/>
      <c r="C11" s="10"/>
      <c r="D11" s="10"/>
    </row>
    <row r="12" spans="1:4" s="53" customFormat="1">
      <c r="A12" s="2"/>
      <c r="B12" s="2"/>
      <c r="C12" s="10"/>
      <c r="D12" s="10"/>
    </row>
    <row r="13" spans="1:4" s="53" customFormat="1">
      <c r="A13" s="2"/>
      <c r="B13" s="2"/>
      <c r="C13" s="10"/>
      <c r="D13" s="10"/>
    </row>
    <row r="14" spans="1:4" s="53" customFormat="1">
      <c r="A14" s="2"/>
      <c r="B14" s="2"/>
      <c r="C14" s="10"/>
      <c r="D14" s="10"/>
    </row>
    <row r="15" spans="1:4" s="53" customFormat="1">
      <c r="A15" s="51"/>
      <c r="B15" s="51"/>
      <c r="C15" s="52"/>
      <c r="D15" s="52"/>
    </row>
    <row r="16" spans="1:4" s="53" customFormat="1">
      <c r="A16" s="51"/>
      <c r="B16" s="51"/>
      <c r="C16" s="52"/>
      <c r="D16" s="52"/>
    </row>
    <row r="17" spans="1:9" s="53" customFormat="1" ht="14.25" thickBot="1">
      <c r="A17" s="3"/>
      <c r="B17" s="3"/>
      <c r="C17" s="11"/>
      <c r="D17" s="11"/>
    </row>
    <row r="18" spans="1:9" ht="14.25" thickBot="1">
      <c r="A18" s="48" t="s">
        <v>50</v>
      </c>
      <c r="B18" s="48">
        <f>SUM(B3:B17)</f>
        <v>0</v>
      </c>
      <c r="C18" s="49"/>
      <c r="D18" s="49"/>
    </row>
    <row r="19" spans="1:9" ht="14.25">
      <c r="A19" s="50"/>
      <c r="B19" s="50"/>
      <c r="C19" s="50"/>
      <c r="D19" s="50"/>
    </row>
    <row r="23" spans="1:9">
      <c r="A23" s="20"/>
      <c r="B23" s="20"/>
      <c r="C23" s="20"/>
      <c r="D23" s="20"/>
    </row>
    <row r="24" spans="1:9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>
      <c r="A26" s="31"/>
      <c r="B26" s="35"/>
      <c r="C26" s="31"/>
      <c r="D26" s="31"/>
      <c r="E26" s="20"/>
      <c r="F26" s="35"/>
      <c r="G26" s="31"/>
      <c r="H26" s="31"/>
      <c r="I26" s="20"/>
    </row>
    <row r="27" spans="1:9">
      <c r="A27" s="36"/>
      <c r="B27" s="37"/>
      <c r="C27" s="38"/>
      <c r="D27" s="38"/>
      <c r="E27" s="20"/>
      <c r="F27" s="37"/>
      <c r="G27" s="38"/>
      <c r="H27" s="38"/>
      <c r="I27" s="20"/>
    </row>
    <row r="28" spans="1:9">
      <c r="A28" s="36"/>
      <c r="B28" s="37"/>
      <c r="C28" s="38"/>
      <c r="D28" s="38"/>
      <c r="E28" s="20"/>
      <c r="F28" s="37"/>
      <c r="G28" s="38"/>
      <c r="H28" s="38"/>
      <c r="I28" s="20"/>
    </row>
    <row r="29" spans="1:9">
      <c r="A29" s="36"/>
      <c r="B29" s="37"/>
      <c r="C29" s="38"/>
      <c r="D29" s="38"/>
      <c r="E29" s="20"/>
      <c r="F29" s="37"/>
      <c r="G29" s="38"/>
      <c r="H29" s="38"/>
      <c r="I29" s="20"/>
    </row>
    <row r="30" spans="1:9">
      <c r="A30" s="36"/>
      <c r="B30" s="37"/>
      <c r="C30" s="38"/>
      <c r="D30" s="38"/>
      <c r="E30" s="20"/>
      <c r="F30" s="37"/>
      <c r="G30" s="38"/>
      <c r="H30" s="38"/>
      <c r="I30" s="20"/>
    </row>
    <row r="31" spans="1:9">
      <c r="A31" s="37"/>
      <c r="B31" s="37"/>
      <c r="C31" s="38"/>
      <c r="D31" s="38"/>
      <c r="E31" s="20"/>
      <c r="F31" s="37"/>
      <c r="G31" s="38"/>
      <c r="H31" s="38"/>
      <c r="I31" s="20"/>
    </row>
    <row r="32" spans="1:9">
      <c r="A32" s="37"/>
      <c r="B32" s="37"/>
      <c r="C32" s="38"/>
      <c r="D32" s="38"/>
      <c r="E32" s="20"/>
      <c r="F32" s="37"/>
      <c r="G32" s="38"/>
      <c r="H32" s="38"/>
      <c r="I32" s="20"/>
    </row>
    <row r="33" spans="1:9">
      <c r="A33" s="37"/>
      <c r="B33" s="37"/>
      <c r="C33" s="38"/>
      <c r="D33" s="38"/>
      <c r="E33" s="20"/>
      <c r="F33" s="37"/>
      <c r="G33" s="38"/>
      <c r="H33" s="38"/>
      <c r="I33" s="20"/>
    </row>
    <row r="34" spans="1:9">
      <c r="A34" s="37"/>
      <c r="B34" s="37"/>
      <c r="C34" s="38"/>
      <c r="D34" s="38"/>
      <c r="E34" s="20"/>
      <c r="F34" s="37"/>
      <c r="G34" s="38"/>
      <c r="H34" s="38"/>
      <c r="I34" s="20"/>
    </row>
    <row r="35" spans="1:9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>
      <c r="A36" s="41"/>
      <c r="B36" s="41"/>
      <c r="C36" s="41"/>
      <c r="D36" s="41"/>
      <c r="E36" s="20"/>
      <c r="F36" s="41"/>
      <c r="G36" s="41"/>
      <c r="H36" s="41"/>
      <c r="I36" s="20"/>
    </row>
    <row r="37" spans="1:9">
      <c r="A37" s="20"/>
      <c r="B37" s="20"/>
      <c r="C37" s="20"/>
      <c r="D37" s="20"/>
      <c r="E37" s="20"/>
      <c r="F37" s="20"/>
      <c r="G37" s="20"/>
      <c r="H37" s="20"/>
      <c r="I37" s="20"/>
    </row>
    <row r="38" spans="1:9">
      <c r="E38" s="20"/>
      <c r="F38" s="20"/>
      <c r="G38" s="20"/>
      <c r="H38" s="20"/>
      <c r="I38" s="20"/>
    </row>
    <row r="39" spans="1:9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6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600-000001000000}">
      <formula1>0</formula1>
      <formula2>NbPerWeek * NbQuartPer</formula2>
    </dataValidation>
    <dataValidation type="list" allowBlank="1" showInputMessage="1" showErrorMessage="1" sqref="A27:A34" xr:uid="{00000000-0002-0000-06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6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6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9"/>
  <dimension ref="A1:I240"/>
  <sheetViews>
    <sheetView tabSelected="1" topLeftCell="A65" workbookViewId="0">
      <selection activeCell="C71" sqref="C71"/>
    </sheetView>
  </sheetViews>
  <sheetFormatPr defaultColWidth="11.42578125" defaultRowHeight="13.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9" ht="18.75" thickBot="1">
      <c r="A1" s="43" t="s">
        <v>45</v>
      </c>
      <c r="B1" s="44">
        <v>1</v>
      </c>
      <c r="C1" s="45" t="s">
        <v>57</v>
      </c>
      <c r="D1" s="54">
        <f>Donnees!$C$9</f>
        <v>44435</v>
      </c>
    </row>
    <row r="2" spans="1:9" ht="27.75" thickBot="1">
      <c r="A2" s="46" t="s">
        <v>46</v>
      </c>
      <c r="B2" s="47" t="s">
        <v>47</v>
      </c>
      <c r="C2" s="46" t="s">
        <v>48</v>
      </c>
      <c r="D2" s="46" t="s">
        <v>49</v>
      </c>
    </row>
    <row r="3" spans="1:9" s="53" customFormat="1">
      <c r="A3" s="5" t="s">
        <v>17</v>
      </c>
      <c r="B3" s="4">
        <v>3</v>
      </c>
      <c r="C3" s="113" t="s">
        <v>58</v>
      </c>
      <c r="D3" s="9"/>
    </row>
    <row r="4" spans="1:9" s="53" customFormat="1" ht="27">
      <c r="A4" s="1" t="s">
        <v>18</v>
      </c>
      <c r="B4" s="2">
        <v>2</v>
      </c>
      <c r="C4" s="114" t="s">
        <v>59</v>
      </c>
      <c r="D4" s="10"/>
    </row>
    <row r="5" spans="1:9" s="53" customFormat="1">
      <c r="A5" s="1" t="s">
        <v>19</v>
      </c>
      <c r="B5" s="2">
        <v>5</v>
      </c>
      <c r="C5" s="114" t="s">
        <v>60</v>
      </c>
      <c r="D5" s="115" t="s">
        <v>61</v>
      </c>
    </row>
    <row r="6" spans="1:9" s="53" customFormat="1">
      <c r="A6" s="1" t="s">
        <v>26</v>
      </c>
      <c r="B6" s="2">
        <v>2</v>
      </c>
      <c r="C6" s="114" t="s">
        <v>62</v>
      </c>
      <c r="D6" s="10"/>
    </row>
    <row r="7" spans="1:9" s="53" customFormat="1">
      <c r="A7" s="1"/>
      <c r="B7" s="2"/>
      <c r="C7" s="10"/>
      <c r="D7" s="10"/>
    </row>
    <row r="8" spans="1:9" s="53" customFormat="1">
      <c r="A8" s="1"/>
      <c r="B8" s="2"/>
      <c r="C8" s="10"/>
      <c r="D8" s="10"/>
    </row>
    <row r="9" spans="1:9" s="53" customFormat="1" ht="14.25" thickBot="1">
      <c r="A9" s="1"/>
      <c r="B9" s="2"/>
      <c r="C9" s="10"/>
      <c r="D9" s="10"/>
    </row>
    <row r="10" spans="1:9" ht="14.25" thickBot="1">
      <c r="A10" s="48" t="s">
        <v>50</v>
      </c>
      <c r="B10" s="48">
        <f>SUM(B3:B9)</f>
        <v>12</v>
      </c>
      <c r="C10" s="112" t="s">
        <v>55</v>
      </c>
      <c r="D10" s="49"/>
    </row>
    <row r="11" spans="1:9" ht="15" thickBot="1">
      <c r="A11" s="50"/>
      <c r="B11" s="50"/>
      <c r="C11" s="50"/>
      <c r="D11" s="50"/>
    </row>
    <row r="12" spans="1:9" ht="18.75" thickBot="1">
      <c r="A12" s="43" t="s">
        <v>45</v>
      </c>
      <c r="B12" s="44">
        <v>2</v>
      </c>
      <c r="C12" s="45" t="s">
        <v>57</v>
      </c>
      <c r="D12" s="54">
        <f>$D$1+7</f>
        <v>44442</v>
      </c>
    </row>
    <row r="13" spans="1:9" ht="27.75" thickBot="1">
      <c r="A13" s="46" t="s">
        <v>46</v>
      </c>
      <c r="B13" s="47" t="s">
        <v>47</v>
      </c>
      <c r="C13" s="46" t="s">
        <v>48</v>
      </c>
      <c r="D13" s="46" t="s">
        <v>49</v>
      </c>
    </row>
    <row r="14" spans="1:9">
      <c r="A14" s="5" t="s">
        <v>24</v>
      </c>
      <c r="B14" s="4">
        <v>2</v>
      </c>
      <c r="C14" s="113" t="s">
        <v>63</v>
      </c>
      <c r="D14" s="9"/>
    </row>
    <row r="15" spans="1:9" ht="40.5">
      <c r="A15" s="1" t="s">
        <v>21</v>
      </c>
      <c r="B15" s="2">
        <v>4</v>
      </c>
      <c r="C15" s="114" t="s">
        <v>64</v>
      </c>
      <c r="D15" s="10"/>
    </row>
    <row r="16" spans="1:9" ht="27">
      <c r="A16" s="1" t="s">
        <v>24</v>
      </c>
      <c r="B16" s="2">
        <v>6</v>
      </c>
      <c r="C16" s="114" t="s">
        <v>65</v>
      </c>
      <c r="D16" s="10"/>
      <c r="E16" s="20"/>
      <c r="F16" s="20"/>
      <c r="G16" s="20"/>
      <c r="H16" s="20"/>
      <c r="I16" s="20"/>
    </row>
    <row r="17" spans="1:9" ht="12.75" customHeight="1">
      <c r="A17" s="1"/>
      <c r="B17" s="2"/>
      <c r="C17" s="10"/>
      <c r="D17" s="10"/>
      <c r="E17" s="20"/>
      <c r="F17" s="32"/>
      <c r="G17" s="33"/>
      <c r="H17" s="34"/>
      <c r="I17" s="20"/>
    </row>
    <row r="18" spans="1:9" ht="15">
      <c r="A18" s="1"/>
      <c r="B18" s="2"/>
      <c r="C18" s="10"/>
      <c r="D18" s="10"/>
      <c r="E18" s="20"/>
      <c r="F18" s="35"/>
      <c r="G18" s="31"/>
      <c r="H18" s="31"/>
      <c r="I18" s="20"/>
    </row>
    <row r="19" spans="1:9">
      <c r="A19" s="1"/>
      <c r="B19" s="2"/>
      <c r="C19" s="10"/>
      <c r="D19" s="10"/>
      <c r="E19" s="20"/>
      <c r="F19" s="37"/>
      <c r="G19" s="38"/>
      <c r="H19" s="38"/>
      <c r="I19" s="20"/>
    </row>
    <row r="20" spans="1:9">
      <c r="A20" s="1"/>
      <c r="B20" s="2"/>
      <c r="C20" s="10"/>
      <c r="D20" s="10"/>
      <c r="E20" s="20"/>
      <c r="F20" s="37"/>
      <c r="G20" s="38"/>
      <c r="H20" s="38"/>
      <c r="I20" s="20"/>
    </row>
    <row r="21" spans="1:9">
      <c r="A21" s="1"/>
      <c r="B21" s="2"/>
      <c r="C21" s="10"/>
      <c r="D21" s="10"/>
      <c r="E21" s="20"/>
      <c r="F21" s="37"/>
      <c r="G21" s="38"/>
      <c r="H21" s="38"/>
      <c r="I21" s="20"/>
    </row>
    <row r="22" spans="1:9">
      <c r="A22" s="1"/>
      <c r="B22" s="2"/>
      <c r="C22" s="10"/>
      <c r="D22" s="10"/>
      <c r="E22" s="20"/>
      <c r="F22" s="37"/>
      <c r="G22" s="38"/>
      <c r="H22" s="38"/>
      <c r="I22" s="20"/>
    </row>
    <row r="23" spans="1:9">
      <c r="A23" s="2"/>
      <c r="B23" s="2"/>
      <c r="C23" s="10"/>
      <c r="D23" s="10"/>
      <c r="E23" s="20"/>
      <c r="F23" s="37"/>
      <c r="G23" s="38"/>
      <c r="H23" s="38"/>
      <c r="I23" s="20"/>
    </row>
    <row r="24" spans="1:9">
      <c r="A24" s="2"/>
      <c r="B24" s="2"/>
      <c r="C24" s="10"/>
      <c r="D24" s="10"/>
      <c r="E24" s="20"/>
      <c r="F24" s="37"/>
      <c r="G24" s="38"/>
      <c r="H24" s="38"/>
      <c r="I24" s="20"/>
    </row>
    <row r="25" spans="1:9">
      <c r="A25" s="2"/>
      <c r="B25" s="2"/>
      <c r="C25" s="10"/>
      <c r="D25" s="10"/>
      <c r="E25" s="20"/>
      <c r="F25" s="37"/>
      <c r="G25" s="38"/>
      <c r="H25" s="38"/>
      <c r="I25" s="20"/>
    </row>
    <row r="26" spans="1:9">
      <c r="A26" s="51"/>
      <c r="B26" s="51"/>
      <c r="C26" s="52"/>
      <c r="D26" s="52"/>
      <c r="E26" s="20"/>
      <c r="F26" s="37"/>
      <c r="G26" s="38"/>
      <c r="H26" s="38"/>
      <c r="I26" s="20"/>
    </row>
    <row r="27" spans="1:9">
      <c r="A27" s="51"/>
      <c r="B27" s="51"/>
      <c r="C27" s="52"/>
      <c r="D27" s="52"/>
      <c r="E27" s="20"/>
      <c r="F27" s="39"/>
      <c r="G27" s="40"/>
      <c r="H27" s="40"/>
      <c r="I27" s="20"/>
    </row>
    <row r="28" spans="1:9" ht="15" thickBot="1">
      <c r="A28" s="3"/>
      <c r="B28" s="3"/>
      <c r="C28" s="11"/>
      <c r="D28" s="11"/>
      <c r="E28" s="20"/>
      <c r="F28" s="41"/>
      <c r="G28" s="41"/>
      <c r="H28" s="41"/>
      <c r="I28" s="20"/>
    </row>
    <row r="29" spans="1:9" ht="14.25" thickBot="1">
      <c r="A29" s="48" t="s">
        <v>50</v>
      </c>
      <c r="B29" s="48">
        <f>SUM(B14:B28)</f>
        <v>12</v>
      </c>
      <c r="C29" s="112" t="s">
        <v>55</v>
      </c>
      <c r="D29" s="49"/>
      <c r="E29" s="20"/>
      <c r="F29" s="20"/>
      <c r="G29" s="20"/>
      <c r="H29" s="20"/>
      <c r="I29" s="20"/>
    </row>
    <row r="30" spans="1:9" ht="15" thickBot="1">
      <c r="A30" s="50"/>
      <c r="B30" s="50"/>
      <c r="C30" s="50"/>
      <c r="D30" s="50"/>
      <c r="E30" s="20"/>
      <c r="F30" s="20"/>
      <c r="G30" s="20"/>
      <c r="H30" s="20"/>
      <c r="I30" s="20"/>
    </row>
    <row r="31" spans="1:9" ht="18.75" thickBot="1">
      <c r="A31" s="43" t="s">
        <v>45</v>
      </c>
      <c r="B31" s="44">
        <v>3</v>
      </c>
      <c r="C31" s="45" t="s">
        <v>57</v>
      </c>
      <c r="D31" s="54">
        <f>$D$12+7</f>
        <v>44449</v>
      </c>
      <c r="E31" s="20"/>
      <c r="F31" s="20"/>
      <c r="G31" s="20"/>
      <c r="H31" s="20"/>
      <c r="I31" s="20"/>
    </row>
    <row r="32" spans="1:9" ht="27.75" thickBot="1">
      <c r="A32" s="46" t="s">
        <v>46</v>
      </c>
      <c r="B32" s="47" t="s">
        <v>47</v>
      </c>
      <c r="C32" s="46" t="s">
        <v>48</v>
      </c>
      <c r="D32" s="46" t="s">
        <v>49</v>
      </c>
    </row>
    <row r="33" spans="1:4" ht="27">
      <c r="A33" s="5" t="s">
        <v>24</v>
      </c>
      <c r="B33" s="4">
        <v>3</v>
      </c>
      <c r="C33" s="113" t="s">
        <v>66</v>
      </c>
      <c r="D33" s="9"/>
    </row>
    <row r="34" spans="1:4" ht="27">
      <c r="A34" s="1" t="s">
        <v>24</v>
      </c>
      <c r="B34" s="2">
        <v>3</v>
      </c>
      <c r="C34" s="114" t="s">
        <v>67</v>
      </c>
      <c r="D34" s="10"/>
    </row>
    <row r="35" spans="1:4">
      <c r="A35" s="1" t="s">
        <v>27</v>
      </c>
      <c r="B35" s="2">
        <v>1</v>
      </c>
      <c r="C35" s="114" t="s">
        <v>68</v>
      </c>
      <c r="D35" s="10"/>
    </row>
    <row r="36" spans="1:4">
      <c r="A36" s="1" t="s">
        <v>23</v>
      </c>
      <c r="B36" s="2">
        <v>3</v>
      </c>
      <c r="C36" s="114" t="s">
        <v>69</v>
      </c>
      <c r="D36" s="10"/>
    </row>
    <row r="37" spans="1:4">
      <c r="A37" s="1" t="s">
        <v>26</v>
      </c>
      <c r="B37" s="2">
        <v>1</v>
      </c>
      <c r="C37" s="114" t="s">
        <v>70</v>
      </c>
      <c r="D37" s="10"/>
    </row>
    <row r="38" spans="1:4">
      <c r="A38" s="1"/>
      <c r="B38" s="2"/>
      <c r="C38" s="10"/>
      <c r="D38" s="10"/>
    </row>
    <row r="39" spans="1:4">
      <c r="A39" s="1"/>
      <c r="B39" s="2"/>
      <c r="C39" s="10"/>
      <c r="D39" s="10"/>
    </row>
    <row r="40" spans="1:4">
      <c r="A40" s="1"/>
      <c r="B40" s="2"/>
      <c r="C40" s="10"/>
      <c r="D40" s="10"/>
    </row>
    <row r="41" spans="1:4">
      <c r="A41" s="1"/>
      <c r="B41" s="2"/>
      <c r="C41" s="10"/>
      <c r="D41" s="10"/>
    </row>
    <row r="42" spans="1:4">
      <c r="A42" s="2"/>
      <c r="B42" s="2"/>
      <c r="C42" s="10"/>
      <c r="D42" s="10"/>
    </row>
    <row r="43" spans="1:4">
      <c r="A43" s="2"/>
      <c r="B43" s="2"/>
      <c r="C43" s="10"/>
      <c r="D43" s="10"/>
    </row>
    <row r="44" spans="1:4">
      <c r="A44" s="2"/>
      <c r="B44" s="2"/>
      <c r="C44" s="10"/>
      <c r="D44" s="10"/>
    </row>
    <row r="45" spans="1:4">
      <c r="A45" s="51"/>
      <c r="B45" s="51"/>
      <c r="C45" s="52"/>
      <c r="D45" s="52"/>
    </row>
    <row r="46" spans="1:4">
      <c r="A46" s="51"/>
      <c r="B46" s="51"/>
      <c r="C46" s="52"/>
      <c r="D46" s="52"/>
    </row>
    <row r="47" spans="1:4" ht="14.25" thickBot="1">
      <c r="A47" s="3"/>
      <c r="B47" s="3"/>
      <c r="C47" s="11"/>
      <c r="D47" s="11"/>
    </row>
    <row r="48" spans="1:4" ht="14.25" thickBot="1">
      <c r="A48" s="48" t="s">
        <v>50</v>
      </c>
      <c r="B48" s="48">
        <f>SUM(B33:B47)</f>
        <v>11</v>
      </c>
      <c r="C48" s="112" t="s">
        <v>55</v>
      </c>
      <c r="D48" s="49"/>
    </row>
    <row r="49" spans="1:4" ht="15" thickBot="1">
      <c r="A49" s="50"/>
      <c r="B49" s="50"/>
      <c r="C49" s="50"/>
      <c r="D49" s="50"/>
    </row>
    <row r="50" spans="1:4" ht="18.75" thickBot="1">
      <c r="A50" s="43" t="s">
        <v>45</v>
      </c>
      <c r="B50" s="44">
        <v>4</v>
      </c>
      <c r="C50" s="45" t="s">
        <v>57</v>
      </c>
      <c r="D50" s="54">
        <f>$D$31+7</f>
        <v>44456</v>
      </c>
    </row>
    <row r="51" spans="1:4" ht="27.75" thickBot="1">
      <c r="A51" s="46" t="s">
        <v>46</v>
      </c>
      <c r="B51" s="47" t="s">
        <v>47</v>
      </c>
      <c r="C51" s="46" t="s">
        <v>48</v>
      </c>
      <c r="D51" s="46" t="s">
        <v>49</v>
      </c>
    </row>
    <row r="52" spans="1:4" ht="27">
      <c r="A52" s="5" t="s">
        <v>23</v>
      </c>
      <c r="B52" s="4">
        <v>6</v>
      </c>
      <c r="C52" s="113" t="s">
        <v>71</v>
      </c>
      <c r="D52" s="9"/>
    </row>
    <row r="53" spans="1:4">
      <c r="A53" s="1" t="s">
        <v>24</v>
      </c>
      <c r="B53" s="2">
        <v>5</v>
      </c>
      <c r="C53" s="114" t="s">
        <v>72</v>
      </c>
      <c r="D53" s="10"/>
    </row>
    <row r="54" spans="1:4">
      <c r="A54" s="1" t="s">
        <v>26</v>
      </c>
      <c r="B54" s="2">
        <v>1</v>
      </c>
      <c r="C54" s="114" t="s">
        <v>70</v>
      </c>
      <c r="D54" s="10"/>
    </row>
    <row r="55" spans="1:4">
      <c r="A55" s="1"/>
      <c r="B55" s="2"/>
      <c r="C55" s="10"/>
      <c r="D55" s="10"/>
    </row>
    <row r="56" spans="1:4">
      <c r="A56" s="1"/>
      <c r="B56" s="2"/>
      <c r="C56" s="10"/>
      <c r="D56" s="10"/>
    </row>
    <row r="57" spans="1:4">
      <c r="A57" s="1"/>
      <c r="B57" s="2"/>
      <c r="C57" s="10"/>
      <c r="D57" s="10"/>
    </row>
    <row r="58" spans="1:4">
      <c r="A58" s="1"/>
      <c r="B58" s="2"/>
      <c r="C58" s="10"/>
      <c r="D58" s="10"/>
    </row>
    <row r="59" spans="1:4">
      <c r="A59" s="1"/>
      <c r="B59" s="2"/>
      <c r="C59" s="10"/>
      <c r="D59" s="10"/>
    </row>
    <row r="60" spans="1:4">
      <c r="A60" s="1"/>
      <c r="B60" s="2"/>
      <c r="C60" s="10"/>
      <c r="D60" s="10"/>
    </row>
    <row r="61" spans="1:4">
      <c r="A61" s="2"/>
      <c r="B61" s="2"/>
      <c r="C61" s="10"/>
      <c r="D61" s="10"/>
    </row>
    <row r="62" spans="1:4">
      <c r="A62" s="2"/>
      <c r="B62" s="2"/>
      <c r="C62" s="10"/>
      <c r="D62" s="10"/>
    </row>
    <row r="63" spans="1:4">
      <c r="A63" s="2"/>
      <c r="B63" s="2"/>
      <c r="C63" s="10"/>
      <c r="D63" s="10"/>
    </row>
    <row r="64" spans="1:4">
      <c r="A64" s="51"/>
      <c r="B64" s="51"/>
      <c r="C64" s="52"/>
      <c r="D64" s="52"/>
    </row>
    <row r="65" spans="1:4">
      <c r="A65" s="51"/>
      <c r="B65" s="51"/>
      <c r="C65" s="52"/>
      <c r="D65" s="52"/>
    </row>
    <row r="66" spans="1:4" ht="14.25" thickBot="1">
      <c r="A66" s="3"/>
      <c r="B66" s="3"/>
      <c r="C66" s="11"/>
      <c r="D66" s="11"/>
    </row>
    <row r="67" spans="1:4" ht="14.25" thickBot="1">
      <c r="A67" s="48" t="s">
        <v>50</v>
      </c>
      <c r="B67" s="48">
        <f>SUM(B52:B66)</f>
        <v>12</v>
      </c>
      <c r="C67" s="112" t="s">
        <v>55</v>
      </c>
      <c r="D67" s="49"/>
    </row>
    <row r="68" spans="1:4" ht="15" thickBot="1">
      <c r="A68" s="50"/>
      <c r="B68" s="50"/>
      <c r="C68" s="50"/>
      <c r="D68" s="50"/>
    </row>
    <row r="69" spans="1:4" ht="18.75" thickBot="1">
      <c r="A69" s="43" t="s">
        <v>45</v>
      </c>
      <c r="B69" s="44">
        <v>5</v>
      </c>
      <c r="C69" s="45" t="s">
        <v>57</v>
      </c>
      <c r="D69" s="54">
        <f>$D$50+7</f>
        <v>44463</v>
      </c>
    </row>
    <row r="70" spans="1:4" ht="27.75" thickBot="1">
      <c r="A70" s="46" t="s">
        <v>46</v>
      </c>
      <c r="B70" s="47" t="s">
        <v>47</v>
      </c>
      <c r="C70" s="46" t="s">
        <v>48</v>
      </c>
      <c r="D70" s="46" t="s">
        <v>49</v>
      </c>
    </row>
    <row r="71" spans="1:4" ht="27">
      <c r="A71" s="5" t="s">
        <v>24</v>
      </c>
      <c r="B71" s="4">
        <v>11</v>
      </c>
      <c r="C71" s="113" t="s">
        <v>73</v>
      </c>
      <c r="D71" s="9"/>
    </row>
    <row r="72" spans="1:4">
      <c r="A72" s="1" t="s">
        <v>26</v>
      </c>
      <c r="B72" s="2">
        <v>1</v>
      </c>
      <c r="C72" s="114" t="s">
        <v>74</v>
      </c>
      <c r="D72" s="10"/>
    </row>
    <row r="73" spans="1:4">
      <c r="A73" s="1"/>
      <c r="B73" s="2"/>
      <c r="C73" s="10"/>
      <c r="D73" s="10"/>
    </row>
    <row r="74" spans="1:4">
      <c r="A74" s="1"/>
      <c r="B74" s="2"/>
      <c r="C74" s="10"/>
      <c r="D74" s="10"/>
    </row>
    <row r="75" spans="1:4">
      <c r="A75" s="1"/>
      <c r="B75" s="2"/>
      <c r="C75" s="10"/>
      <c r="D75" s="10"/>
    </row>
    <row r="76" spans="1:4">
      <c r="A76" s="1"/>
      <c r="B76" s="2"/>
      <c r="C76" s="10"/>
      <c r="D76" s="10"/>
    </row>
    <row r="77" spans="1:4">
      <c r="A77" s="1"/>
      <c r="B77" s="2"/>
      <c r="C77" s="10"/>
      <c r="D77" s="10"/>
    </row>
    <row r="78" spans="1:4">
      <c r="A78" s="1"/>
      <c r="B78" s="2"/>
      <c r="C78" s="10"/>
      <c r="D78" s="10"/>
    </row>
    <row r="79" spans="1:4">
      <c r="A79" s="1"/>
      <c r="B79" s="2"/>
      <c r="C79" s="10"/>
      <c r="D79" s="10"/>
    </row>
    <row r="80" spans="1:4">
      <c r="A80" s="2"/>
      <c r="B80" s="2"/>
      <c r="C80" s="10"/>
      <c r="D80" s="10"/>
    </row>
    <row r="81" spans="1:4">
      <c r="A81" s="2"/>
      <c r="B81" s="2"/>
      <c r="C81" s="10"/>
      <c r="D81" s="10"/>
    </row>
    <row r="82" spans="1:4">
      <c r="A82" s="2"/>
      <c r="B82" s="2"/>
      <c r="C82" s="10"/>
      <c r="D82" s="10"/>
    </row>
    <row r="83" spans="1:4">
      <c r="A83" s="51"/>
      <c r="B83" s="51"/>
      <c r="C83" s="52"/>
      <c r="D83" s="52"/>
    </row>
    <row r="84" spans="1:4">
      <c r="A84" s="51"/>
      <c r="B84" s="51"/>
      <c r="C84" s="52"/>
      <c r="D84" s="52"/>
    </row>
    <row r="85" spans="1:4" ht="14.25" thickBot="1">
      <c r="A85" s="3"/>
      <c r="B85" s="3"/>
      <c r="C85" s="11"/>
      <c r="D85" s="11"/>
    </row>
    <row r="86" spans="1:4" ht="14.25" thickBot="1">
      <c r="A86" s="48" t="s">
        <v>50</v>
      </c>
      <c r="B86" s="48">
        <f>SUM(B71:B85)</f>
        <v>12</v>
      </c>
      <c r="C86" s="112" t="s">
        <v>55</v>
      </c>
      <c r="D86" s="49"/>
    </row>
    <row r="87" spans="1:4" ht="15" thickBot="1">
      <c r="A87" s="50"/>
      <c r="B87" s="50"/>
      <c r="C87" s="50"/>
      <c r="D87" s="50"/>
    </row>
    <row r="88" spans="1:4" ht="18.75" thickBot="1">
      <c r="A88" s="43" t="s">
        <v>45</v>
      </c>
      <c r="B88" s="44">
        <v>6</v>
      </c>
      <c r="C88" s="45" t="s">
        <v>57</v>
      </c>
      <c r="D88" s="54">
        <f>$D$69+7</f>
        <v>44470</v>
      </c>
    </row>
    <row r="89" spans="1:4" ht="27.75" thickBot="1">
      <c r="A89" s="46" t="s">
        <v>46</v>
      </c>
      <c r="B89" s="47" t="s">
        <v>47</v>
      </c>
      <c r="C89" s="46" t="s">
        <v>48</v>
      </c>
      <c r="D89" s="46" t="s">
        <v>49</v>
      </c>
    </row>
    <row r="90" spans="1:4">
      <c r="A90" s="5"/>
      <c r="B90" s="4"/>
      <c r="C90" s="9"/>
      <c r="D90" s="9"/>
    </row>
    <row r="91" spans="1:4">
      <c r="A91" s="1"/>
      <c r="B91" s="2"/>
      <c r="C91" s="10"/>
      <c r="D91" s="10"/>
    </row>
    <row r="92" spans="1:4">
      <c r="A92" s="1"/>
      <c r="B92" s="2"/>
      <c r="C92" s="10"/>
      <c r="D92" s="10"/>
    </row>
    <row r="93" spans="1:4">
      <c r="A93" s="1"/>
      <c r="B93" s="2"/>
      <c r="C93" s="10"/>
      <c r="D93" s="10"/>
    </row>
    <row r="94" spans="1:4">
      <c r="A94" s="1"/>
      <c r="B94" s="2"/>
      <c r="C94" s="10"/>
      <c r="D94" s="10"/>
    </row>
    <row r="95" spans="1:4">
      <c r="A95" s="1"/>
      <c r="B95" s="2"/>
      <c r="C95" s="10"/>
      <c r="D95" s="10"/>
    </row>
    <row r="96" spans="1:4">
      <c r="A96" s="1"/>
      <c r="B96" s="2"/>
      <c r="C96" s="10"/>
      <c r="D96" s="10"/>
    </row>
    <row r="97" spans="1:4">
      <c r="A97" s="1"/>
      <c r="B97" s="2"/>
      <c r="C97" s="10"/>
      <c r="D97" s="10"/>
    </row>
    <row r="98" spans="1:4">
      <c r="A98" s="1"/>
      <c r="B98" s="2"/>
      <c r="C98" s="10"/>
      <c r="D98" s="10"/>
    </row>
    <row r="99" spans="1:4">
      <c r="A99" s="2"/>
      <c r="B99" s="2"/>
      <c r="C99" s="10"/>
      <c r="D99" s="10"/>
    </row>
    <row r="100" spans="1:4">
      <c r="A100" s="2"/>
      <c r="B100" s="2"/>
      <c r="C100" s="10"/>
      <c r="D100" s="10"/>
    </row>
    <row r="101" spans="1:4">
      <c r="A101" s="2"/>
      <c r="B101" s="2"/>
      <c r="C101" s="10"/>
      <c r="D101" s="10"/>
    </row>
    <row r="102" spans="1:4">
      <c r="A102" s="51"/>
      <c r="B102" s="51"/>
      <c r="C102" s="52"/>
      <c r="D102" s="52"/>
    </row>
    <row r="103" spans="1:4">
      <c r="A103" s="51"/>
      <c r="B103" s="51"/>
      <c r="C103" s="52"/>
      <c r="D103" s="52"/>
    </row>
    <row r="104" spans="1:4" ht="14.25" thickBot="1">
      <c r="A104" s="3"/>
      <c r="B104" s="3"/>
      <c r="C104" s="11"/>
      <c r="D104" s="11"/>
    </row>
    <row r="105" spans="1:4" ht="14.25" thickBot="1">
      <c r="A105" s="48" t="s">
        <v>50</v>
      </c>
      <c r="B105" s="48">
        <f>SUM(B90:B104)</f>
        <v>0</v>
      </c>
      <c r="C105" s="112" t="s">
        <v>55</v>
      </c>
      <c r="D105" s="49"/>
    </row>
    <row r="106" spans="1:4" ht="15" thickBot="1">
      <c r="A106" s="50"/>
      <c r="B106" s="50"/>
      <c r="C106" s="50"/>
      <c r="D106" s="50"/>
    </row>
    <row r="107" spans="1:4" ht="18.75" thickBot="1">
      <c r="A107" s="43" t="s">
        <v>45</v>
      </c>
      <c r="B107" s="44">
        <v>7</v>
      </c>
      <c r="C107" s="45" t="s">
        <v>57</v>
      </c>
      <c r="D107" s="54">
        <f>$D$88+7</f>
        <v>44477</v>
      </c>
    </row>
    <row r="108" spans="1:4" ht="27.75" thickBot="1">
      <c r="A108" s="46" t="s">
        <v>46</v>
      </c>
      <c r="B108" s="47" t="s">
        <v>47</v>
      </c>
      <c r="C108" s="46" t="s">
        <v>48</v>
      </c>
      <c r="D108" s="46" t="s">
        <v>49</v>
      </c>
    </row>
    <row r="109" spans="1:4">
      <c r="A109" s="5"/>
      <c r="B109" s="4"/>
      <c r="C109" s="9"/>
      <c r="D109" s="9"/>
    </row>
    <row r="110" spans="1:4">
      <c r="A110" s="1"/>
      <c r="B110" s="2"/>
      <c r="C110" s="10"/>
      <c r="D110" s="10"/>
    </row>
    <row r="111" spans="1:4">
      <c r="A111" s="1"/>
      <c r="B111" s="2"/>
      <c r="C111" s="10"/>
      <c r="D111" s="10"/>
    </row>
    <row r="112" spans="1:4">
      <c r="A112" s="1"/>
      <c r="B112" s="2"/>
      <c r="C112" s="10"/>
      <c r="D112" s="10"/>
    </row>
    <row r="113" spans="1:4">
      <c r="A113" s="1"/>
      <c r="B113" s="2"/>
      <c r="C113" s="10"/>
      <c r="D113" s="10"/>
    </row>
    <row r="114" spans="1:4">
      <c r="A114" s="1"/>
      <c r="B114" s="2"/>
      <c r="C114" s="10"/>
      <c r="D114" s="10"/>
    </row>
    <row r="115" spans="1:4">
      <c r="A115" s="1"/>
      <c r="B115" s="2"/>
      <c r="C115" s="10"/>
      <c r="D115" s="10"/>
    </row>
    <row r="116" spans="1:4">
      <c r="A116" s="1"/>
      <c r="B116" s="2"/>
      <c r="C116" s="10"/>
      <c r="D116" s="10"/>
    </row>
    <row r="117" spans="1:4">
      <c r="A117" s="1"/>
      <c r="B117" s="2"/>
      <c r="C117" s="10"/>
      <c r="D117" s="10"/>
    </row>
    <row r="118" spans="1:4">
      <c r="A118" s="2"/>
      <c r="B118" s="2"/>
      <c r="C118" s="10"/>
      <c r="D118" s="10"/>
    </row>
    <row r="119" spans="1:4">
      <c r="A119" s="2"/>
      <c r="B119" s="2"/>
      <c r="C119" s="10"/>
      <c r="D119" s="10"/>
    </row>
    <row r="120" spans="1:4">
      <c r="A120" s="2"/>
      <c r="B120" s="2"/>
      <c r="C120" s="10"/>
      <c r="D120" s="10"/>
    </row>
    <row r="121" spans="1:4">
      <c r="A121" s="51"/>
      <c r="B121" s="51"/>
      <c r="C121" s="52"/>
      <c r="D121" s="52"/>
    </row>
    <row r="122" spans="1:4">
      <c r="A122" s="51"/>
      <c r="B122" s="51"/>
      <c r="C122" s="52"/>
      <c r="D122" s="52"/>
    </row>
    <row r="123" spans="1:4" ht="14.25" thickBot="1">
      <c r="A123" s="3"/>
      <c r="B123" s="3"/>
      <c r="C123" s="11"/>
      <c r="D123" s="11"/>
    </row>
    <row r="124" spans="1:4" ht="14.25" thickBot="1">
      <c r="A124" s="48" t="s">
        <v>50</v>
      </c>
      <c r="B124" s="48">
        <f>SUM(B109:B123)</f>
        <v>0</v>
      </c>
      <c r="C124" s="112" t="s">
        <v>55</v>
      </c>
      <c r="D124" s="49"/>
    </row>
    <row r="125" spans="1:4" ht="15" thickBot="1">
      <c r="A125" s="50"/>
      <c r="B125" s="50"/>
      <c r="C125" s="50"/>
      <c r="D125" s="50"/>
    </row>
    <row r="126" spans="1:4" ht="18.75" thickBot="1">
      <c r="A126" s="43" t="s">
        <v>45</v>
      </c>
      <c r="B126" s="44">
        <v>8</v>
      </c>
      <c r="C126" s="45" t="s">
        <v>57</v>
      </c>
      <c r="D126" s="54">
        <f>$D$107+7</f>
        <v>44484</v>
      </c>
    </row>
    <row r="127" spans="1:4" ht="27.75" thickBot="1">
      <c r="A127" s="46" t="s">
        <v>46</v>
      </c>
      <c r="B127" s="47" t="s">
        <v>47</v>
      </c>
      <c r="C127" s="46" t="s">
        <v>48</v>
      </c>
      <c r="D127" s="46" t="s">
        <v>49</v>
      </c>
    </row>
    <row r="128" spans="1:4">
      <c r="A128" s="5"/>
      <c r="B128" s="4"/>
      <c r="C128" s="9"/>
      <c r="D128" s="9"/>
    </row>
    <row r="129" spans="1:4">
      <c r="A129" s="1"/>
      <c r="B129" s="2"/>
      <c r="C129" s="10"/>
      <c r="D129" s="10"/>
    </row>
    <row r="130" spans="1:4">
      <c r="A130" s="1"/>
      <c r="B130" s="2"/>
      <c r="C130" s="10"/>
      <c r="D130" s="10"/>
    </row>
    <row r="131" spans="1:4">
      <c r="A131" s="1"/>
      <c r="B131" s="2"/>
      <c r="C131" s="10"/>
      <c r="D131" s="10"/>
    </row>
    <row r="132" spans="1:4">
      <c r="A132" s="1"/>
      <c r="B132" s="2"/>
      <c r="C132" s="10"/>
      <c r="D132" s="10"/>
    </row>
    <row r="133" spans="1:4">
      <c r="A133" s="1"/>
      <c r="B133" s="2"/>
      <c r="C133" s="10"/>
      <c r="D133" s="10"/>
    </row>
    <row r="134" spans="1:4">
      <c r="A134" s="1"/>
      <c r="B134" s="2"/>
      <c r="C134" s="10"/>
      <c r="D134" s="10"/>
    </row>
    <row r="135" spans="1:4">
      <c r="A135" s="1"/>
      <c r="B135" s="2"/>
      <c r="C135" s="10"/>
      <c r="D135" s="10"/>
    </row>
    <row r="136" spans="1:4">
      <c r="A136" s="1"/>
      <c r="B136" s="2"/>
      <c r="C136" s="10"/>
      <c r="D136" s="10"/>
    </row>
    <row r="137" spans="1:4">
      <c r="A137" s="2"/>
      <c r="B137" s="2"/>
      <c r="C137" s="10"/>
      <c r="D137" s="10"/>
    </row>
    <row r="138" spans="1:4">
      <c r="A138" s="2"/>
      <c r="B138" s="2"/>
      <c r="C138" s="10"/>
      <c r="D138" s="10"/>
    </row>
    <row r="139" spans="1:4">
      <c r="A139" s="2"/>
      <c r="B139" s="2"/>
      <c r="C139" s="10"/>
      <c r="D139" s="10"/>
    </row>
    <row r="140" spans="1:4">
      <c r="A140" s="51"/>
      <c r="B140" s="51"/>
      <c r="C140" s="52"/>
      <c r="D140" s="52"/>
    </row>
    <row r="141" spans="1:4">
      <c r="A141" s="51"/>
      <c r="B141" s="51"/>
      <c r="C141" s="52"/>
      <c r="D141" s="52"/>
    </row>
    <row r="142" spans="1:4" ht="14.25" thickBot="1">
      <c r="A142" s="3"/>
      <c r="B142" s="3"/>
      <c r="C142" s="11"/>
      <c r="D142" s="11"/>
    </row>
    <row r="143" spans="1:4" ht="14.25" thickBot="1">
      <c r="A143" s="48" t="s">
        <v>50</v>
      </c>
      <c r="B143" s="48">
        <f>SUM(B128:B142)</f>
        <v>0</v>
      </c>
      <c r="C143" s="112" t="s">
        <v>55</v>
      </c>
      <c r="D143" s="49"/>
    </row>
    <row r="144" spans="1:4" ht="15" thickBot="1">
      <c r="A144" s="50"/>
      <c r="B144" s="50"/>
      <c r="C144" s="50"/>
      <c r="D144" s="50"/>
    </row>
    <row r="145" spans="1:4" ht="18.75" thickBot="1">
      <c r="A145" s="43" t="s">
        <v>45</v>
      </c>
      <c r="B145" s="44">
        <v>9</v>
      </c>
      <c r="C145" s="45" t="s">
        <v>57</v>
      </c>
      <c r="D145" s="54">
        <f>$D$126+7</f>
        <v>44491</v>
      </c>
    </row>
    <row r="146" spans="1:4" ht="27.75" thickBot="1">
      <c r="A146" s="46" t="s">
        <v>46</v>
      </c>
      <c r="B146" s="47" t="s">
        <v>47</v>
      </c>
      <c r="C146" s="46" t="s">
        <v>48</v>
      </c>
      <c r="D146" s="46" t="s">
        <v>49</v>
      </c>
    </row>
    <row r="147" spans="1:4">
      <c r="A147" s="5"/>
      <c r="B147" s="4"/>
      <c r="C147" s="9"/>
      <c r="D147" s="9"/>
    </row>
    <row r="148" spans="1:4">
      <c r="A148" s="1"/>
      <c r="B148" s="2"/>
      <c r="C148" s="10"/>
      <c r="D148" s="10"/>
    </row>
    <row r="149" spans="1:4">
      <c r="A149" s="1"/>
      <c r="B149" s="2"/>
      <c r="C149" s="10"/>
      <c r="D149" s="10"/>
    </row>
    <row r="150" spans="1:4">
      <c r="A150" s="1"/>
      <c r="B150" s="2"/>
      <c r="C150" s="10"/>
      <c r="D150" s="10"/>
    </row>
    <row r="151" spans="1:4">
      <c r="A151" s="1"/>
      <c r="B151" s="2"/>
      <c r="C151" s="10"/>
      <c r="D151" s="10"/>
    </row>
    <row r="152" spans="1:4">
      <c r="A152" s="1"/>
      <c r="B152" s="2"/>
      <c r="C152" s="10"/>
      <c r="D152" s="10"/>
    </row>
    <row r="153" spans="1:4">
      <c r="A153" s="1"/>
      <c r="B153" s="2"/>
      <c r="C153" s="10"/>
      <c r="D153" s="10"/>
    </row>
    <row r="154" spans="1:4">
      <c r="A154" s="1"/>
      <c r="B154" s="2"/>
      <c r="C154" s="10"/>
      <c r="D154" s="10"/>
    </row>
    <row r="155" spans="1:4">
      <c r="A155" s="1"/>
      <c r="B155" s="2"/>
      <c r="C155" s="10"/>
      <c r="D155" s="10"/>
    </row>
    <row r="156" spans="1:4">
      <c r="A156" s="2"/>
      <c r="B156" s="2"/>
      <c r="C156" s="10"/>
      <c r="D156" s="10"/>
    </row>
    <row r="157" spans="1:4">
      <c r="A157" s="2"/>
      <c r="B157" s="2"/>
      <c r="C157" s="10"/>
      <c r="D157" s="10"/>
    </row>
    <row r="158" spans="1:4">
      <c r="A158" s="2"/>
      <c r="B158" s="2"/>
      <c r="C158" s="10"/>
      <c r="D158" s="10"/>
    </row>
    <row r="159" spans="1:4">
      <c r="A159" s="51"/>
      <c r="B159" s="51"/>
      <c r="C159" s="52"/>
      <c r="D159" s="52"/>
    </row>
    <row r="160" spans="1:4">
      <c r="A160" s="51"/>
      <c r="B160" s="51"/>
      <c r="C160" s="52"/>
      <c r="D160" s="52"/>
    </row>
    <row r="161" spans="1:4" ht="14.25" thickBot="1">
      <c r="A161" s="3"/>
      <c r="B161" s="3"/>
      <c r="C161" s="11"/>
      <c r="D161" s="11"/>
    </row>
    <row r="162" spans="1:4" ht="14.25" thickBot="1">
      <c r="A162" s="48" t="s">
        <v>50</v>
      </c>
      <c r="B162" s="48">
        <f>SUM(B147:B161)</f>
        <v>0</v>
      </c>
      <c r="C162" s="112" t="s">
        <v>55</v>
      </c>
      <c r="D162" s="49"/>
    </row>
    <row r="163" spans="1:4" ht="15" thickBot="1">
      <c r="A163" s="50"/>
      <c r="B163" s="50"/>
      <c r="C163" s="50"/>
      <c r="D163" s="50"/>
    </row>
    <row r="164" spans="1:4" ht="18.75" thickBot="1">
      <c r="A164" s="43" t="s">
        <v>45</v>
      </c>
      <c r="B164" s="44">
        <v>10</v>
      </c>
      <c r="C164" s="45" t="s">
        <v>57</v>
      </c>
      <c r="D164" s="54">
        <f>$D$145+7</f>
        <v>44498</v>
      </c>
    </row>
    <row r="165" spans="1:4" ht="27.75" thickBot="1">
      <c r="A165" s="46" t="s">
        <v>46</v>
      </c>
      <c r="B165" s="47" t="s">
        <v>47</v>
      </c>
      <c r="C165" s="46" t="s">
        <v>48</v>
      </c>
      <c r="D165" s="46" t="s">
        <v>49</v>
      </c>
    </row>
    <row r="166" spans="1:4">
      <c r="A166" s="5"/>
      <c r="B166" s="4"/>
      <c r="C166" s="9"/>
      <c r="D166" s="9"/>
    </row>
    <row r="167" spans="1:4">
      <c r="A167" s="1"/>
      <c r="B167" s="2"/>
      <c r="C167" s="10"/>
      <c r="D167" s="10"/>
    </row>
    <row r="168" spans="1:4">
      <c r="A168" s="1"/>
      <c r="B168" s="2"/>
      <c r="C168" s="10"/>
      <c r="D168" s="10"/>
    </row>
    <row r="169" spans="1:4">
      <c r="A169" s="1"/>
      <c r="B169" s="2"/>
      <c r="C169" s="10"/>
      <c r="D169" s="10"/>
    </row>
    <row r="170" spans="1:4">
      <c r="A170" s="1"/>
      <c r="B170" s="2"/>
      <c r="C170" s="10"/>
      <c r="D170" s="10"/>
    </row>
    <row r="171" spans="1:4">
      <c r="A171" s="1"/>
      <c r="B171" s="2"/>
      <c r="C171" s="10"/>
      <c r="D171" s="10"/>
    </row>
    <row r="172" spans="1:4">
      <c r="A172" s="1"/>
      <c r="B172" s="2"/>
      <c r="C172" s="10"/>
      <c r="D172" s="10"/>
    </row>
    <row r="173" spans="1:4">
      <c r="A173" s="1"/>
      <c r="B173" s="2"/>
      <c r="C173" s="10"/>
      <c r="D173" s="10"/>
    </row>
    <row r="174" spans="1:4">
      <c r="A174" s="1"/>
      <c r="B174" s="2"/>
      <c r="C174" s="10"/>
      <c r="D174" s="10"/>
    </row>
    <row r="175" spans="1:4">
      <c r="A175" s="2"/>
      <c r="B175" s="2"/>
      <c r="C175" s="10"/>
      <c r="D175" s="10"/>
    </row>
    <row r="176" spans="1:4">
      <c r="A176" s="2"/>
      <c r="B176" s="2"/>
      <c r="C176" s="10"/>
      <c r="D176" s="10"/>
    </row>
    <row r="177" spans="1:4">
      <c r="A177" s="2"/>
      <c r="B177" s="2"/>
      <c r="C177" s="10"/>
      <c r="D177" s="10"/>
    </row>
    <row r="178" spans="1:4">
      <c r="A178" s="51"/>
      <c r="B178" s="51"/>
      <c r="C178" s="52"/>
      <c r="D178" s="52"/>
    </row>
    <row r="179" spans="1:4">
      <c r="A179" s="51"/>
      <c r="B179" s="51"/>
      <c r="C179" s="52"/>
      <c r="D179" s="52"/>
    </row>
    <row r="180" spans="1:4" ht="14.25" thickBot="1">
      <c r="A180" s="3"/>
      <c r="B180" s="3"/>
      <c r="C180" s="11"/>
      <c r="D180" s="11"/>
    </row>
    <row r="181" spans="1:4" ht="14.25" thickBot="1">
      <c r="A181" s="48" t="s">
        <v>50</v>
      </c>
      <c r="B181" s="48">
        <f>SUM(B166:B180)</f>
        <v>0</v>
      </c>
      <c r="C181" s="112" t="s">
        <v>55</v>
      </c>
      <c r="D181" s="49"/>
    </row>
    <row r="182" spans="1:4" ht="15" thickBot="1">
      <c r="A182" s="50"/>
      <c r="B182" s="50"/>
      <c r="C182" s="50"/>
      <c r="D182" s="50"/>
    </row>
    <row r="183" spans="1:4" ht="18.75" thickBot="1">
      <c r="A183" s="43" t="s">
        <v>45</v>
      </c>
      <c r="B183" s="44">
        <v>11</v>
      </c>
      <c r="C183" s="45" t="s">
        <v>57</v>
      </c>
      <c r="D183" s="54">
        <f>$D$164+7</f>
        <v>44505</v>
      </c>
    </row>
    <row r="184" spans="1:4" ht="27.75" thickBot="1">
      <c r="A184" s="46" t="s">
        <v>46</v>
      </c>
      <c r="B184" s="47" t="s">
        <v>47</v>
      </c>
      <c r="C184" s="46" t="s">
        <v>48</v>
      </c>
      <c r="D184" s="46" t="s">
        <v>49</v>
      </c>
    </row>
    <row r="185" spans="1:4">
      <c r="A185" s="5"/>
      <c r="B185" s="4"/>
      <c r="C185" s="9"/>
      <c r="D185" s="9"/>
    </row>
    <row r="186" spans="1:4">
      <c r="A186" s="1"/>
      <c r="B186" s="2"/>
      <c r="C186" s="10"/>
      <c r="D186" s="10"/>
    </row>
    <row r="187" spans="1:4">
      <c r="A187" s="1"/>
      <c r="B187" s="2"/>
      <c r="C187" s="10"/>
      <c r="D187" s="10"/>
    </row>
    <row r="188" spans="1:4">
      <c r="A188" s="1"/>
      <c r="B188" s="2"/>
      <c r="C188" s="10"/>
      <c r="D188" s="10"/>
    </row>
    <row r="189" spans="1:4">
      <c r="A189" s="1"/>
      <c r="B189" s="2"/>
      <c r="C189" s="10"/>
      <c r="D189" s="10"/>
    </row>
    <row r="190" spans="1:4">
      <c r="A190" s="1"/>
      <c r="B190" s="2"/>
      <c r="C190" s="10"/>
      <c r="D190" s="10"/>
    </row>
    <row r="191" spans="1:4">
      <c r="A191" s="1"/>
      <c r="B191" s="2"/>
      <c r="C191" s="10"/>
      <c r="D191" s="10"/>
    </row>
    <row r="192" spans="1:4">
      <c r="A192" s="1"/>
      <c r="B192" s="2"/>
      <c r="C192" s="10"/>
      <c r="D192" s="10"/>
    </row>
    <row r="193" spans="1:4">
      <c r="A193" s="1"/>
      <c r="B193" s="2"/>
      <c r="C193" s="10"/>
      <c r="D193" s="10"/>
    </row>
    <row r="194" spans="1:4">
      <c r="A194" s="2"/>
      <c r="B194" s="2"/>
      <c r="C194" s="10"/>
      <c r="D194" s="10"/>
    </row>
    <row r="195" spans="1:4">
      <c r="A195" s="2"/>
      <c r="B195" s="2"/>
      <c r="C195" s="10"/>
      <c r="D195" s="10"/>
    </row>
    <row r="196" spans="1:4">
      <c r="A196" s="2"/>
      <c r="B196" s="2"/>
      <c r="C196" s="10"/>
      <c r="D196" s="10"/>
    </row>
    <row r="197" spans="1:4">
      <c r="A197" s="51"/>
      <c r="B197" s="51"/>
      <c r="C197" s="52"/>
      <c r="D197" s="52"/>
    </row>
    <row r="198" spans="1:4">
      <c r="A198" s="51"/>
      <c r="B198" s="51"/>
      <c r="C198" s="52"/>
      <c r="D198" s="52"/>
    </row>
    <row r="199" spans="1:4" ht="14.25" thickBot="1">
      <c r="A199" s="3"/>
      <c r="B199" s="3"/>
      <c r="C199" s="11"/>
      <c r="D199" s="11"/>
    </row>
    <row r="200" spans="1:4" ht="14.25" thickBot="1">
      <c r="A200" s="48" t="s">
        <v>50</v>
      </c>
      <c r="B200" s="48">
        <f>SUM(B185:B199)</f>
        <v>0</v>
      </c>
      <c r="C200" s="112" t="s">
        <v>55</v>
      </c>
      <c r="D200" s="49"/>
    </row>
    <row r="201" spans="1:4" ht="15" thickBot="1">
      <c r="A201" s="50"/>
      <c r="B201" s="50"/>
      <c r="C201" s="50"/>
      <c r="D201" s="50"/>
    </row>
    <row r="202" spans="1:4" ht="18.75" thickBot="1">
      <c r="A202" s="43" t="s">
        <v>45</v>
      </c>
      <c r="B202" s="44">
        <v>12</v>
      </c>
      <c r="C202" s="45" t="s">
        <v>57</v>
      </c>
      <c r="D202" s="54">
        <f>$D$183+7</f>
        <v>44512</v>
      </c>
    </row>
    <row r="203" spans="1:4" ht="27.75" thickBot="1">
      <c r="A203" s="46" t="s">
        <v>46</v>
      </c>
      <c r="B203" s="47" t="s">
        <v>47</v>
      </c>
      <c r="C203" s="46" t="s">
        <v>48</v>
      </c>
      <c r="D203" s="46" t="s">
        <v>49</v>
      </c>
    </row>
    <row r="204" spans="1:4">
      <c r="A204" s="5"/>
      <c r="B204" s="4"/>
      <c r="C204" s="9"/>
      <c r="D204" s="9"/>
    </row>
    <row r="205" spans="1:4">
      <c r="A205" s="1"/>
      <c r="B205" s="2"/>
      <c r="C205" s="10"/>
      <c r="D205" s="10"/>
    </row>
    <row r="206" spans="1:4">
      <c r="A206" s="1"/>
      <c r="B206" s="2"/>
      <c r="C206" s="10"/>
      <c r="D206" s="10"/>
    </row>
    <row r="207" spans="1:4">
      <c r="A207" s="1"/>
      <c r="B207" s="2"/>
      <c r="C207" s="10"/>
      <c r="D207" s="10"/>
    </row>
    <row r="208" spans="1:4">
      <c r="A208" s="1"/>
      <c r="B208" s="2"/>
      <c r="C208" s="10"/>
      <c r="D208" s="10"/>
    </row>
    <row r="209" spans="1:4">
      <c r="A209" s="1"/>
      <c r="B209" s="2"/>
      <c r="C209" s="10"/>
      <c r="D209" s="10"/>
    </row>
    <row r="210" spans="1:4">
      <c r="A210" s="1"/>
      <c r="B210" s="2"/>
      <c r="C210" s="10"/>
      <c r="D210" s="10"/>
    </row>
    <row r="211" spans="1:4">
      <c r="A211" s="1"/>
      <c r="B211" s="2"/>
      <c r="C211" s="10"/>
      <c r="D211" s="10"/>
    </row>
    <row r="212" spans="1:4">
      <c r="A212" s="1"/>
      <c r="B212" s="2"/>
      <c r="C212" s="10"/>
      <c r="D212" s="10"/>
    </row>
    <row r="213" spans="1:4">
      <c r="A213" s="2"/>
      <c r="B213" s="2"/>
      <c r="C213" s="10"/>
      <c r="D213" s="10"/>
    </row>
    <row r="214" spans="1:4">
      <c r="A214" s="2"/>
      <c r="B214" s="2"/>
      <c r="C214" s="10"/>
      <c r="D214" s="10"/>
    </row>
    <row r="215" spans="1:4">
      <c r="A215" s="2"/>
      <c r="B215" s="2"/>
      <c r="C215" s="10"/>
      <c r="D215" s="10"/>
    </row>
    <row r="216" spans="1:4">
      <c r="A216" s="51"/>
      <c r="B216" s="51"/>
      <c r="C216" s="52"/>
      <c r="D216" s="52"/>
    </row>
    <row r="217" spans="1:4">
      <c r="A217" s="51"/>
      <c r="B217" s="51"/>
      <c r="C217" s="52"/>
      <c r="D217" s="52"/>
    </row>
    <row r="218" spans="1:4" ht="14.25" thickBot="1">
      <c r="A218" s="3"/>
      <c r="B218" s="3"/>
      <c r="C218" s="11"/>
      <c r="D218" s="11"/>
    </row>
    <row r="219" spans="1:4" ht="14.25" thickBot="1">
      <c r="A219" s="48" t="s">
        <v>50</v>
      </c>
      <c r="B219" s="48">
        <f>SUM(B204:B218)</f>
        <v>0</v>
      </c>
      <c r="C219" s="112" t="s">
        <v>55</v>
      </c>
      <c r="D219" s="49"/>
    </row>
    <row r="220" spans="1:4" ht="15" thickBot="1">
      <c r="A220" s="50"/>
      <c r="B220" s="50"/>
      <c r="C220" s="50"/>
      <c r="D220" s="50"/>
    </row>
    <row r="221" spans="1:4" ht="18.75" thickBot="1">
      <c r="A221" s="43" t="s">
        <v>45</v>
      </c>
      <c r="B221" s="44">
        <v>13</v>
      </c>
      <c r="C221" s="45" t="s">
        <v>57</v>
      </c>
      <c r="D221" s="54">
        <f>$D$202+7</f>
        <v>44519</v>
      </c>
    </row>
    <row r="222" spans="1:4" ht="27.75" thickBot="1">
      <c r="A222" s="46" t="s">
        <v>46</v>
      </c>
      <c r="B222" s="47" t="s">
        <v>47</v>
      </c>
      <c r="C222" s="46" t="s">
        <v>48</v>
      </c>
      <c r="D222" s="46" t="s">
        <v>49</v>
      </c>
    </row>
    <row r="223" spans="1:4">
      <c r="A223" s="5"/>
      <c r="B223" s="4"/>
      <c r="C223" s="9"/>
      <c r="D223" s="9"/>
    </row>
    <row r="224" spans="1:4">
      <c r="A224" s="1"/>
      <c r="B224" s="2"/>
      <c r="C224" s="10"/>
      <c r="D224" s="10"/>
    </row>
    <row r="225" spans="1:4">
      <c r="A225" s="1"/>
      <c r="B225" s="2"/>
      <c r="C225" s="10"/>
      <c r="D225" s="10"/>
    </row>
    <row r="226" spans="1:4">
      <c r="A226" s="1"/>
      <c r="B226" s="2"/>
      <c r="C226" s="10"/>
      <c r="D226" s="10"/>
    </row>
    <row r="227" spans="1:4">
      <c r="A227" s="1"/>
      <c r="B227" s="2"/>
      <c r="C227" s="10"/>
      <c r="D227" s="10"/>
    </row>
    <row r="228" spans="1:4">
      <c r="A228" s="1"/>
      <c r="B228" s="2"/>
      <c r="C228" s="10"/>
      <c r="D228" s="10"/>
    </row>
    <row r="229" spans="1:4">
      <c r="A229" s="1"/>
      <c r="B229" s="2"/>
      <c r="C229" s="10"/>
      <c r="D229" s="10"/>
    </row>
    <row r="230" spans="1:4">
      <c r="A230" s="1"/>
      <c r="B230" s="2"/>
      <c r="C230" s="10"/>
      <c r="D230" s="10"/>
    </row>
    <row r="231" spans="1:4">
      <c r="A231" s="1"/>
      <c r="B231" s="2"/>
      <c r="C231" s="10"/>
      <c r="D231" s="10"/>
    </row>
    <row r="232" spans="1:4">
      <c r="A232" s="2"/>
      <c r="B232" s="2"/>
      <c r="C232" s="10"/>
      <c r="D232" s="10"/>
    </row>
    <row r="233" spans="1:4">
      <c r="A233" s="2"/>
      <c r="B233" s="2"/>
      <c r="C233" s="10"/>
      <c r="D233" s="10"/>
    </row>
    <row r="234" spans="1:4">
      <c r="A234" s="2"/>
      <c r="B234" s="2"/>
      <c r="C234" s="10"/>
      <c r="D234" s="10"/>
    </row>
    <row r="235" spans="1:4">
      <c r="A235" s="51"/>
      <c r="B235" s="51"/>
      <c r="C235" s="52"/>
      <c r="D235" s="52"/>
    </row>
    <row r="236" spans="1:4">
      <c r="A236" s="51"/>
      <c r="B236" s="51"/>
      <c r="C236" s="52"/>
      <c r="D236" s="52"/>
    </row>
    <row r="237" spans="1:4" ht="14.25" thickBot="1">
      <c r="A237" s="3"/>
      <c r="B237" s="3"/>
      <c r="C237" s="11"/>
      <c r="D237" s="11"/>
    </row>
    <row r="238" spans="1:4" ht="14.25" thickBot="1">
      <c r="A238" s="48" t="s">
        <v>50</v>
      </c>
      <c r="B238" s="48">
        <f>SUM(B223:B237)</f>
        <v>0</v>
      </c>
      <c r="C238" s="112" t="s">
        <v>55</v>
      </c>
      <c r="D238" s="49"/>
    </row>
    <row r="239" spans="1:4" ht="14.25">
      <c r="A239" s="50"/>
      <c r="B239" s="50"/>
      <c r="C239" s="50"/>
      <c r="D239" s="50"/>
    </row>
    <row r="240" spans="1:4">
      <c r="A240" s="89" t="s">
        <v>56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27" xr:uid="{00000000-0002-0000-07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19:F26 B3:B9 B14:B28 B33:B47 B223:B237 B71:B85 B90:B104 B109:B123 B128:B142 B147:B161 B166:B180 B185:B199 B204:B218 B52:B66" xr:uid="{00000000-0002-0000-0700-00000100000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0 B29 B48 B67 B86 B105 B124 B143 B162 B181 B200 B219 B238" xr:uid="{00000000-0002-0000-0700-000002000000}">
      <formula1>0</formula1>
      <formula2>NbPerWeek * NbQuartPer</formula2>
    </dataValidation>
    <dataValidation type="list" allowBlank="1" showInputMessage="1" showErrorMessage="1" sqref="A3:A9 A14:A28 A33:A47 A223:A237 A71:A85 A90:A104 A109:A123 A128:A142 A147:A161 A166:A180 A185:A199 A204:A218 A52:A66" xr:uid="{00000000-0002-0000-0700-000003000000}">
      <formula1>lstTasks</formula1>
    </dataValidation>
  </dataValidations>
  <hyperlinks>
    <hyperlink ref="D5" r:id="rId1" xr:uid="{00000000-0004-0000-0700-000000000000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56321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6321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Jonathan Melly</dc:creator>
  <cp:keywords/>
  <dc:description/>
  <cp:lastModifiedBy>Stefan Petrovic</cp:lastModifiedBy>
  <cp:revision/>
  <dcterms:created xsi:type="dcterms:W3CDTF">1996-10-21T11:03:58Z</dcterms:created>
  <dcterms:modified xsi:type="dcterms:W3CDTF">2021-09-24T13:44:32Z</dcterms:modified>
  <cp:category/>
  <cp:contentStatus/>
</cp:coreProperties>
</file>