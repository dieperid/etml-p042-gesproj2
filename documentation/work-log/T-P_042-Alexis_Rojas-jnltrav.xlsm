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ETML\CFC\Pratique\Projets\P-GesProj2\etml-p042-gesproj2\documentation\work-log\"/>
    </mc:Choice>
  </mc:AlternateContent>
  <bookViews>
    <workbookView xWindow="1335" yWindow="1635" windowWidth="24135" windowHeight="13875" activeTab="7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5" i="163" l="1"/>
  <c r="D1" i="163" l="1"/>
  <c r="D12" i="163" s="1"/>
  <c r="D31" i="163" s="1"/>
  <c r="D50" i="163" s="1"/>
  <c r="D69" i="163" s="1"/>
  <c r="D88" i="163" s="1"/>
  <c r="D107" i="163" s="1"/>
  <c r="D126" i="163" s="1"/>
  <c r="D164" i="163" s="1"/>
  <c r="D183" i="163" s="1"/>
  <c r="D202" i="163" s="1"/>
  <c r="D221" i="163" s="1"/>
  <c r="B238" i="163"/>
  <c r="B219" i="163"/>
  <c r="B200" i="163"/>
  <c r="B181" i="163"/>
  <c r="B162" i="163"/>
  <c r="B143" i="163"/>
  <c r="B124" i="163"/>
  <c r="B105" i="163"/>
  <c r="B86" i="163"/>
  <c r="B67" i="163"/>
  <c r="B48" i="163"/>
  <c r="B29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B18" i="154" l="1"/>
  <c r="B13" i="11" l="1"/>
</calcChain>
</file>

<file path=xl/sharedStrings.xml><?xml version="1.0" encoding="utf-8"?>
<sst xmlns="http://schemas.openxmlformats.org/spreadsheetml/2006/main" count="390" uniqueCount="89">
  <si>
    <t>Module :</t>
  </si>
  <si>
    <t>P_GesProj2</t>
  </si>
  <si>
    <t>Prénom - nom :</t>
  </si>
  <si>
    <t>Alexis Rojas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</si>
  <si>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</si>
  <si>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</si>
  <si>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</si>
  <si>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</si>
  <si>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</si>
  <si>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</si>
  <si>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</si>
  <si>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</si>
  <si>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</si>
  <si>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</si>
  <si>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</si>
  <si>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</si>
  <si>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</si>
  <si>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</si>
  <si>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</si>
  <si>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</si>
  <si>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</si>
  <si>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</si>
  <si>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</si>
  <si>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</si>
  <si>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</si>
  <si>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</si>
  <si>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</si>
  <si>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MySql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</si>
  <si>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</si>
  <si>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</si>
  <si>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</si>
  <si>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</si>
  <si>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</si>
  <si>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</si>
  <si>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</si>
  <si>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</si>
  <si>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</si>
  <si>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</si>
  <si>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</si>
  <si>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</si>
  <si>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</si>
  <si>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</si>
  <si>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</si>
  <si>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</si>
  <si>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</si>
  <si>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</si>
  <si>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</si>
  <si>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</si>
  <si>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</si>
  <si>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</si>
  <si>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</si>
  <si>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</si>
  <si>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</si>
  <si>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</si>
  <si>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</si>
  <si>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</si>
  <si>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</si>
  <si>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</si>
  <si>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</si>
  <si>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</si>
  <si>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</si>
  <si>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</si>
  <si>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</si>
  <si>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Analyse organisation du site web</t>
  </si>
  <si>
    <t>Analyse de la modélisation de la base de données en groupe (Création du MCD sur DBMain, définition des rélations, types de données) [MCD, MLD, MPD Terminé]</t>
  </si>
  <si>
    <t>Réalisation du côté front du site web (Création de l'arborescence du répertoire, html+css des deux pages) [En progrès]</t>
  </si>
  <si>
    <t>Continuation de la création du site web [Page d'accueil terminé + page de téléphones en construction]</t>
  </si>
  <si>
    <t>Création fichier config.php pour la connexion du site avec la base de données + tests de requêtes sur la page de téléphones [Reussi]</t>
  </si>
  <si>
    <t>Commandes pour la création des utilisateurs + les autorisations sur le mode console MySQL</t>
  </si>
  <si>
    <t>Analyse pour la création de requêtes avec des jointures + tests sur PhpMyAdmin</t>
  </si>
  <si>
    <t>Création des réquêtes SQL gestion liste de clients avec les smartphones qui leur ont été vendus (INNER JOIN, ORDER BY, COUNT)[Terminé]</t>
  </si>
  <si>
    <t>Implémentation des requetes sur le site web (PHP) [Tests, en progrès]</t>
  </si>
  <si>
    <t>Implémentation des rêquetes SQL sur le site web avec Stefan. (Tests php, variables, création de checkbox pour filtrer les téléphones par marque et par Os.)</t>
  </si>
  <si>
    <t>Remplissage journal de travail</t>
  </si>
  <si>
    <t>Récaputulatif tâches accomplies et tâches à faire</t>
  </si>
  <si>
    <t>Travail sur un autre projet avec David [P_dev réseau]</t>
  </si>
  <si>
    <t>Rédaction journal de travail</t>
  </si>
  <si>
    <t>Implémentation des requetes SQL dans le site [Analyse de l'ordre des conditions pour les filtres et les tris]</t>
  </si>
  <si>
    <t>Modification des modeles de la base de données [Création d'un nouveau attribut pour la version du système d'exploitation]</t>
  </si>
  <si>
    <t>Continuation de l'implementation des requetes SQL [Selection de differentes marques et OS avec des cases à cocher REUSSIE]</t>
  </si>
  <si>
    <t>Modification du style de la page "Telephones" style personalissé des boutons de radio et des cases à cocher</t>
  </si>
  <si>
    <t>Finalisation implémentation des requetes SQL sous forme de filtres et de tris dans le site web</t>
  </si>
  <si>
    <t>Rédaction journal de travail semaine 3</t>
  </si>
  <si>
    <t>Rédaction journal de travail semaine 4</t>
  </si>
  <si>
    <t>Style CSS du site (Modification style des checkbox, liste déroulante et boutons de radio)</t>
  </si>
  <si>
    <t>Implémentation requêtes clients sur le site</t>
  </si>
  <si>
    <t>Début document de rapport (Titre, description, réalisation) [Mise en page déjà faite, il manque l'explication de l'algotithme de selection de tri et de filtre + Conclusion]</t>
  </si>
  <si>
    <t>Correction Test formatif N. 1</t>
  </si>
  <si>
    <t>Nettoyage du code + en-têtes + commentaires expliquant les sections des pages HTML et les bouts de code 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</si>
</sst>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 x14ac:dyDescent="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 x14ac:dyDescent="0.3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9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13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6" t="s">
        <v>14</v>
      </c>
      <c r="C19" s="127"/>
      <c r="D19" s="60"/>
      <c r="E19" s="60"/>
      <c r="F19" s="60"/>
      <c r="G19" s="61"/>
    </row>
    <row r="20" spans="1:13" ht="20.25" x14ac:dyDescent="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27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C26"/>
  <sheetViews>
    <sheetView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 x14ac:dyDescent="0.3">
      <c r="B1" s="91"/>
      <c r="C1" s="91"/>
    </row>
    <row r="2" spans="1:159" ht="42.75" customHeight="1" thickBot="1" x14ac:dyDescent="0.3">
      <c r="A2" s="92"/>
      <c r="B2" s="23" t="s">
        <v>28</v>
      </c>
      <c r="C2" s="15" t="s">
        <v>29</v>
      </c>
      <c r="D2" s="130" t="s">
        <v>30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2"/>
      <c r="P2" s="130" t="s">
        <v>31</v>
      </c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2"/>
      <c r="AB2" s="130" t="s">
        <v>32</v>
      </c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2"/>
      <c r="AN2" s="130" t="s">
        <v>33</v>
      </c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2"/>
      <c r="AZ2" s="130" t="s">
        <v>34</v>
      </c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35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2"/>
      <c r="BX2" s="130" t="s">
        <v>36</v>
      </c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2"/>
      <c r="CJ2" s="130" t="s">
        <v>37</v>
      </c>
      <c r="CK2" s="131"/>
      <c r="CL2" s="131"/>
      <c r="CM2" s="131"/>
      <c r="CN2" s="131"/>
      <c r="CO2" s="131"/>
      <c r="CP2" s="131"/>
      <c r="CQ2" s="131"/>
      <c r="CR2" s="131"/>
      <c r="CS2" s="131"/>
      <c r="CT2" s="131"/>
      <c r="CU2" s="132"/>
      <c r="CV2" s="130" t="s">
        <v>38</v>
      </c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2"/>
      <c r="DH2" s="130" t="s">
        <v>39</v>
      </c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2"/>
      <c r="DT2" s="130" t="s">
        <v>40</v>
      </c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2"/>
      <c r="EF2" s="130" t="s">
        <v>41</v>
      </c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2"/>
      <c r="ER2" s="130" t="s">
        <v>42</v>
      </c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2"/>
    </row>
    <row r="3" spans="1:159" ht="19.5" customHeight="1" x14ac:dyDescent="0.25">
      <c r="A3" s="92"/>
      <c r="B3" s="133" t="s">
        <v>16</v>
      </c>
      <c r="C3" s="16">
        <v>10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116"/>
      <c r="BM3" s="117"/>
      <c r="BN3" s="118"/>
      <c r="BO3" s="119"/>
      <c r="BP3" s="117"/>
      <c r="BQ3" s="118"/>
      <c r="BR3" s="119"/>
      <c r="BS3" s="117"/>
      <c r="BT3" s="118"/>
      <c r="BU3" s="119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 x14ac:dyDescent="0.3">
      <c r="A4" s="92"/>
      <c r="B4" s="134"/>
      <c r="C4" s="22">
        <v>10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121"/>
      <c r="BM4" s="122"/>
      <c r="BN4" s="123"/>
      <c r="BO4" s="124"/>
      <c r="BP4" s="122"/>
      <c r="BQ4" s="123"/>
      <c r="BR4" s="124"/>
      <c r="BS4" s="122"/>
      <c r="BT4" s="123"/>
      <c r="BU4" s="124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 x14ac:dyDescent="0.25">
      <c r="B5" s="135" t="str">
        <f>Donnees!$C$21</f>
        <v>Lecture du CDC</v>
      </c>
      <c r="C5" s="103">
        <v>3</v>
      </c>
      <c r="D5" s="116"/>
      <c r="E5" s="117"/>
      <c r="F5" s="118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 x14ac:dyDescent="0.3">
      <c r="B6" s="129"/>
      <c r="C6" s="104">
        <v>3</v>
      </c>
      <c r="D6" s="121"/>
      <c r="E6" s="122"/>
      <c r="F6" s="123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 x14ac:dyDescent="0.25">
      <c r="B7" s="128" t="str">
        <f>Donnees!$C$22</f>
        <v>Répartition des tâches</v>
      </c>
      <c r="C7" s="103">
        <v>3</v>
      </c>
      <c r="D7" s="93"/>
      <c r="E7" s="94"/>
      <c r="F7" s="95"/>
      <c r="G7" s="119"/>
      <c r="H7" s="117"/>
      <c r="I7" s="118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 x14ac:dyDescent="0.3">
      <c r="B8" s="129"/>
      <c r="C8" s="104">
        <v>2</v>
      </c>
      <c r="D8" s="98"/>
      <c r="E8" s="99"/>
      <c r="F8" s="100"/>
      <c r="G8" s="124"/>
      <c r="H8" s="122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 x14ac:dyDescent="0.25">
      <c r="B9" s="128" t="str">
        <f>Donnees!$C$23</f>
        <v>Collecte de données</v>
      </c>
      <c r="C9" s="103">
        <v>5</v>
      </c>
      <c r="D9" s="93"/>
      <c r="E9" s="94"/>
      <c r="F9" s="95"/>
      <c r="G9" s="96"/>
      <c r="H9" s="94"/>
      <c r="I9" s="95"/>
      <c r="J9" s="119"/>
      <c r="K9" s="117"/>
      <c r="L9" s="118"/>
      <c r="M9" s="119"/>
      <c r="N9" s="117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 x14ac:dyDescent="0.3">
      <c r="B10" s="129"/>
      <c r="C10" s="104">
        <v>5</v>
      </c>
      <c r="D10" s="98"/>
      <c r="E10" s="99"/>
      <c r="F10" s="100"/>
      <c r="G10" s="101"/>
      <c r="H10" s="99"/>
      <c r="I10" s="123"/>
      <c r="J10" s="124"/>
      <c r="K10" s="122"/>
      <c r="L10" s="123"/>
      <c r="M10" s="124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 x14ac:dyDescent="0.25">
      <c r="B11" s="128" t="str">
        <f>Donnees!$C$24</f>
        <v>Documentation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 x14ac:dyDescent="0.3">
      <c r="B12" s="129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 x14ac:dyDescent="0.25">
      <c r="B13" s="128" t="str">
        <f>Donnees!$C$25</f>
        <v>Modélisation de la base de données (MCD, MLD, MPD)</v>
      </c>
      <c r="C13" s="103">
        <v>6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118"/>
      <c r="S13" s="119"/>
      <c r="T13" s="117"/>
      <c r="U13" s="118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120"/>
      <c r="CJ13" s="116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 x14ac:dyDescent="0.3">
      <c r="B14" s="129"/>
      <c r="C14" s="104">
        <v>6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23"/>
      <c r="S14" s="124"/>
      <c r="T14" s="122"/>
      <c r="U14" s="123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25"/>
      <c r="CJ14" s="121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 x14ac:dyDescent="0.25">
      <c r="B15" s="128" t="str">
        <f>Donnees!$C$26</f>
        <v>Importation des données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 x14ac:dyDescent="0.3">
      <c r="A16" s="105"/>
      <c r="B16" s="129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99"/>
      <c r="AJ16" s="100"/>
      <c r="AK16" s="101"/>
      <c r="AL16" s="99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 x14ac:dyDescent="0.25">
      <c r="B17" s="128" t="str">
        <f>Donnees!$C$27</f>
        <v>Requêtes SQL</v>
      </c>
      <c r="C17" s="103">
        <v>37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9"/>
      <c r="AI17" s="117"/>
      <c r="AJ17" s="118"/>
      <c r="AK17" s="119"/>
      <c r="AL17" s="94"/>
      <c r="AM17" s="120"/>
      <c r="AN17" s="116"/>
      <c r="AO17" s="117"/>
      <c r="AP17" s="118"/>
      <c r="AQ17" s="119"/>
      <c r="AR17" s="117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120"/>
      <c r="BX17" s="116"/>
      <c r="BY17" s="117"/>
      <c r="BZ17" s="118"/>
      <c r="CA17" s="119"/>
      <c r="CB17" s="117"/>
      <c r="CC17" s="118"/>
      <c r="CD17" s="119"/>
      <c r="CE17" s="117"/>
      <c r="CF17" s="118"/>
      <c r="CG17" s="119"/>
      <c r="CH17" s="94"/>
      <c r="CI17" s="97"/>
      <c r="CJ17" s="93"/>
      <c r="CK17" s="117"/>
      <c r="CL17" s="118"/>
      <c r="CM17" s="119"/>
      <c r="CN17" s="117"/>
      <c r="CO17" s="118"/>
      <c r="CP17" s="119"/>
      <c r="CQ17" s="117"/>
      <c r="CR17" s="118"/>
      <c r="CS17" s="119"/>
      <c r="CT17" s="94"/>
      <c r="CU17" s="120"/>
      <c r="CV17" s="116"/>
      <c r="CW17" s="117"/>
      <c r="CX17" s="118"/>
      <c r="CY17" s="119"/>
      <c r="CZ17" s="117"/>
      <c r="DA17" s="118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 x14ac:dyDescent="0.3">
      <c r="B18" s="129"/>
      <c r="C18" s="104">
        <v>37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4"/>
      <c r="AI18" s="122"/>
      <c r="AJ18" s="123"/>
      <c r="AK18" s="124"/>
      <c r="AL18" s="99"/>
      <c r="AM18" s="125"/>
      <c r="AN18" s="121"/>
      <c r="AO18" s="122"/>
      <c r="AP18" s="123"/>
      <c r="AQ18" s="124"/>
      <c r="AR18" s="122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25"/>
      <c r="BX18" s="121"/>
      <c r="BY18" s="122"/>
      <c r="BZ18" s="123"/>
      <c r="CA18" s="124"/>
      <c r="CB18" s="122"/>
      <c r="CC18" s="123"/>
      <c r="CD18" s="124"/>
      <c r="CE18" s="122"/>
      <c r="CF18" s="123"/>
      <c r="CG18" s="124"/>
      <c r="CH18" s="99"/>
      <c r="CI18" s="102"/>
      <c r="CJ18" s="98"/>
      <c r="CK18" s="122"/>
      <c r="CL18" s="123"/>
      <c r="CM18" s="124"/>
      <c r="CN18" s="122"/>
      <c r="CO18" s="123"/>
      <c r="CP18" s="124"/>
      <c r="CQ18" s="122"/>
      <c r="CR18" s="123"/>
      <c r="CS18" s="124"/>
      <c r="CT18" s="99"/>
      <c r="CU18" s="125"/>
      <c r="CV18" s="121"/>
      <c r="CW18" s="122"/>
      <c r="CX18" s="123"/>
      <c r="CY18" s="124"/>
      <c r="CZ18" s="122"/>
      <c r="DA18" s="123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 x14ac:dyDescent="0.25">
      <c r="B19" s="128" t="str">
        <f>Donnees!$C$28</f>
        <v>Création du site web</v>
      </c>
      <c r="C19" s="103">
        <v>34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116"/>
      <c r="Q19" s="117"/>
      <c r="R19" s="95"/>
      <c r="S19" s="96"/>
      <c r="T19" s="94"/>
      <c r="U19" s="95"/>
      <c r="V19" s="119"/>
      <c r="W19" s="117"/>
      <c r="X19" s="118"/>
      <c r="Y19" s="119"/>
      <c r="Z19" s="117"/>
      <c r="AA19" s="120"/>
      <c r="AB19" s="116"/>
      <c r="AC19" s="117"/>
      <c r="AD19" s="118"/>
      <c r="AE19" s="119"/>
      <c r="AF19" s="117"/>
      <c r="AG19" s="118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118"/>
      <c r="AT19" s="119"/>
      <c r="AU19" s="117"/>
      <c r="AV19" s="118"/>
      <c r="AW19" s="119"/>
      <c r="AX19" s="94"/>
      <c r="AY19" s="120"/>
      <c r="AZ19" s="116"/>
      <c r="BA19" s="117"/>
      <c r="BB19" s="118"/>
      <c r="BC19" s="119"/>
      <c r="BD19" s="117"/>
      <c r="BE19" s="118"/>
      <c r="BF19" s="119"/>
      <c r="BG19" s="117"/>
      <c r="BH19" s="118"/>
      <c r="BI19" s="119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119"/>
      <c r="DC19" s="117"/>
      <c r="DD19" s="118"/>
      <c r="DE19" s="119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 x14ac:dyDescent="0.3">
      <c r="B20" s="129"/>
      <c r="C20" s="104">
        <v>34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121"/>
      <c r="Q20" s="122"/>
      <c r="R20" s="100"/>
      <c r="S20" s="101"/>
      <c r="T20" s="99"/>
      <c r="U20" s="100"/>
      <c r="V20" s="124"/>
      <c r="W20" s="122"/>
      <c r="X20" s="123"/>
      <c r="Y20" s="124"/>
      <c r="Z20" s="122"/>
      <c r="AA20" s="125"/>
      <c r="AB20" s="121"/>
      <c r="AC20" s="122"/>
      <c r="AD20" s="123"/>
      <c r="AE20" s="124"/>
      <c r="AF20" s="122"/>
      <c r="AG20" s="123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23"/>
      <c r="AT20" s="124"/>
      <c r="AU20" s="122"/>
      <c r="AV20" s="123"/>
      <c r="AW20" s="124"/>
      <c r="AX20" s="99"/>
      <c r="AY20" s="125"/>
      <c r="AZ20" s="121"/>
      <c r="BA20" s="122"/>
      <c r="BB20" s="123"/>
      <c r="BC20" s="124"/>
      <c r="BD20" s="122"/>
      <c r="BE20" s="123"/>
      <c r="BF20" s="124"/>
      <c r="BG20" s="122"/>
      <c r="BH20" s="123"/>
      <c r="BI20" s="124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24"/>
      <c r="DC20" s="122"/>
      <c r="DD20" s="123"/>
      <c r="DE20" s="124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 x14ac:dyDescent="0.25">
      <c r="B21" s="128" t="str">
        <f>Donnees!$C$29</f>
        <v>Planification du projet</v>
      </c>
      <c r="C21" s="103">
        <v>1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120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 x14ac:dyDescent="0.3">
      <c r="B22" s="129"/>
      <c r="C22" s="104">
        <v>1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25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 x14ac:dyDescent="0.25">
      <c r="B23" s="128" t="str">
        <f>Donnees!$C$30</f>
        <v>Journal de travail</v>
      </c>
      <c r="C23" s="103">
        <v>8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120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117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7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117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117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117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117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117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 x14ac:dyDescent="0.25">
      <c r="B24" s="129"/>
      <c r="C24" s="104">
        <v>9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122"/>
      <c r="O24" s="125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122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2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122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122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122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122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122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 x14ac:dyDescent="0.25">
      <c r="B25" s="25" t="s">
        <v>43</v>
      </c>
      <c r="C25" s="27">
        <f>SUM($C$3,$C$5,$C$7,$C$9,$C$11,$C$13,$C$15,$C$17,$C$19,$C$21,$C$23)</f>
        <v>107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 x14ac:dyDescent="0.3">
      <c r="B26" s="26" t="s">
        <v>44</v>
      </c>
      <c r="C26" s="28">
        <f>SUM($C$4,$C$6,$C$8,$C$10,$C$12,$C$14,$C$16,$C$18,$C$20,$C$22,$C$24)</f>
        <v>107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B15:B16"/>
    <mergeCell ref="B17:B18"/>
    <mergeCell ref="B19:B20"/>
    <mergeCell ref="B21:B22"/>
    <mergeCell ref="B23:B24"/>
    <mergeCell ref="B11:B12"/>
    <mergeCell ref="B13:B14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28</v>
      </c>
      <c r="C2" s="15" t="s">
        <v>29</v>
      </c>
    </row>
    <row r="3" spans="1:4" ht="19.5" customHeight="1" x14ac:dyDescent="0.25">
      <c r="A3" s="19"/>
      <c r="B3" s="133" t="s">
        <v>16</v>
      </c>
      <c r="C3" s="16">
        <v>0</v>
      </c>
    </row>
    <row r="4" spans="1:4" ht="19.5" customHeight="1" x14ac:dyDescent="0.25">
      <c r="A4" s="19"/>
      <c r="B4" s="13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43</v>
      </c>
      <c r="C3" s="27">
        <v>0</v>
      </c>
    </row>
    <row r="4" spans="2:3" ht="18.75" thickBot="1" x14ac:dyDescent="0.3">
      <c r="B4" s="26" t="s">
        <v>44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45</v>
      </c>
      <c r="B1" s="7">
        <v>1</v>
      </c>
      <c r="C1" s="17"/>
      <c r="D1" s="87"/>
    </row>
    <row r="2" spans="1:4" ht="27.75" thickBot="1" x14ac:dyDescent="0.3">
      <c r="A2" s="8" t="s">
        <v>46</v>
      </c>
      <c r="B2" s="18" t="s">
        <v>47</v>
      </c>
      <c r="C2" s="8" t="s">
        <v>48</v>
      </c>
      <c r="D2" s="8" t="s">
        <v>49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50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8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45</v>
      </c>
      <c r="B1" s="7">
        <v>1</v>
      </c>
      <c r="C1" s="17"/>
      <c r="D1" s="87"/>
    </row>
    <row r="2" spans="1:4" ht="27.75" thickBot="1" x14ac:dyDescent="0.3">
      <c r="A2" s="8" t="s">
        <v>46</v>
      </c>
      <c r="B2" s="18" t="s">
        <v>47</v>
      </c>
      <c r="C2" s="8" t="s">
        <v>48</v>
      </c>
      <c r="D2" s="8" t="s">
        <v>49</v>
      </c>
    </row>
    <row r="3" spans="1:4" s="53" customFormat="1" x14ac:dyDescent="0.25">
      <c r="A3" s="5" t="s">
        <v>17</v>
      </c>
      <c r="B3" s="4">
        <v>3</v>
      </c>
      <c r="C3" s="113" t="s">
        <v>51</v>
      </c>
      <c r="D3" s="9"/>
    </row>
    <row r="4" spans="1:4" s="53" customFormat="1" ht="27" x14ac:dyDescent="0.25">
      <c r="A4" s="1" t="s">
        <v>18</v>
      </c>
      <c r="B4" s="2">
        <v>3</v>
      </c>
      <c r="C4" s="114" t="s">
        <v>52</v>
      </c>
      <c r="D4" s="10"/>
    </row>
    <row r="5" spans="1:4" s="53" customFormat="1" x14ac:dyDescent="0.25">
      <c r="A5" s="1" t="s">
        <v>19</v>
      </c>
      <c r="B5" s="2">
        <v>5</v>
      </c>
      <c r="C5" s="114" t="s">
        <v>53</v>
      </c>
      <c r="D5" s="10"/>
    </row>
    <row r="6" spans="1:4" s="53" customFormat="1" x14ac:dyDescent="0.25">
      <c r="A6" s="1" t="s">
        <v>26</v>
      </c>
      <c r="B6" s="2">
        <v>1</v>
      </c>
      <c r="C6" s="114" t="s">
        <v>54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50</v>
      </c>
      <c r="B13" s="12">
        <f>SUM(B3:B12)</f>
        <v>12</v>
      </c>
      <c r="C13" s="88" t="s">
        <v>55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45</v>
      </c>
      <c r="B15" s="7">
        <v>2</v>
      </c>
      <c r="C15" s="17"/>
      <c r="D15" s="87"/>
    </row>
    <row r="16" spans="1:4" ht="27.75" thickBot="1" x14ac:dyDescent="0.3">
      <c r="A16" s="8" t="s">
        <v>46</v>
      </c>
      <c r="B16" s="18" t="s">
        <v>47</v>
      </c>
      <c r="C16" s="8" t="s">
        <v>48</v>
      </c>
      <c r="D16" s="8" t="s">
        <v>49</v>
      </c>
    </row>
    <row r="17" spans="1:9" x14ac:dyDescent="0.25">
      <c r="A17" s="5" t="s">
        <v>24</v>
      </c>
      <c r="B17" s="4">
        <v>2</v>
      </c>
      <c r="C17" s="113" t="s">
        <v>63</v>
      </c>
      <c r="D17" s="9"/>
    </row>
    <row r="18" spans="1:9" ht="40.5" x14ac:dyDescent="0.25">
      <c r="A18" s="1" t="s">
        <v>21</v>
      </c>
      <c r="B18" s="2">
        <v>4</v>
      </c>
      <c r="C18" s="114" t="s">
        <v>64</v>
      </c>
      <c r="D18" s="10"/>
    </row>
    <row r="19" spans="1:9" ht="27" x14ac:dyDescent="0.25">
      <c r="A19" s="1" t="s">
        <v>24</v>
      </c>
      <c r="B19" s="2">
        <v>6</v>
      </c>
      <c r="C19" s="114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50</v>
      </c>
      <c r="B27" s="12">
        <f>SUM(B17:B26)</f>
        <v>12</v>
      </c>
      <c r="C27" s="88" t="s">
        <v>55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45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46</v>
      </c>
      <c r="B30" s="18" t="s">
        <v>47</v>
      </c>
      <c r="C30" s="8" t="s">
        <v>48</v>
      </c>
      <c r="D30" s="8" t="s">
        <v>49</v>
      </c>
      <c r="E30" s="20"/>
      <c r="F30" s="39"/>
      <c r="G30" s="40"/>
      <c r="H30" s="40"/>
      <c r="I30" s="20"/>
    </row>
    <row r="31" spans="1:9" ht="27" x14ac:dyDescent="0.3">
      <c r="A31" s="5" t="s">
        <v>24</v>
      </c>
      <c r="B31" s="4">
        <v>3</v>
      </c>
      <c r="C31" s="113" t="s">
        <v>66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24</v>
      </c>
      <c r="B32" s="2">
        <v>3</v>
      </c>
      <c r="C32" s="114" t="s">
        <v>67</v>
      </c>
      <c r="D32" s="10"/>
      <c r="E32" s="20"/>
      <c r="F32" s="20"/>
      <c r="G32" s="20"/>
      <c r="H32" s="20"/>
      <c r="I32" s="20"/>
    </row>
    <row r="33" spans="1:9" x14ac:dyDescent="0.25">
      <c r="A33" s="1" t="s">
        <v>27</v>
      </c>
      <c r="B33" s="2">
        <v>1</v>
      </c>
      <c r="C33" s="114" t="s">
        <v>68</v>
      </c>
      <c r="D33" s="10"/>
      <c r="E33" s="20"/>
      <c r="F33" s="20"/>
      <c r="G33" s="20"/>
      <c r="H33" s="20"/>
      <c r="I33" s="20"/>
    </row>
    <row r="34" spans="1:9" x14ac:dyDescent="0.25">
      <c r="A34" s="1" t="s">
        <v>23</v>
      </c>
      <c r="B34" s="2">
        <v>4</v>
      </c>
      <c r="C34" s="114" t="s">
        <v>69</v>
      </c>
      <c r="D34" s="10"/>
      <c r="E34" s="20"/>
      <c r="F34" s="20"/>
      <c r="G34" s="20"/>
      <c r="H34" s="20"/>
      <c r="I34" s="20"/>
    </row>
    <row r="35" spans="1:9" x14ac:dyDescent="0.25">
      <c r="A35" s="1" t="s">
        <v>26</v>
      </c>
      <c r="B35" s="2">
        <v>1</v>
      </c>
      <c r="C35" s="114" t="s">
        <v>82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50</v>
      </c>
      <c r="B41" s="12">
        <f>SUM(B31:B40)</f>
        <v>12</v>
      </c>
      <c r="C41" s="88" t="s">
        <v>55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45</v>
      </c>
      <c r="B43" s="7">
        <v>4</v>
      </c>
      <c r="C43" s="17"/>
      <c r="D43" s="87"/>
    </row>
    <row r="44" spans="1:9" ht="27.75" thickBot="1" x14ac:dyDescent="0.3">
      <c r="A44" s="8" t="s">
        <v>46</v>
      </c>
      <c r="B44" s="18" t="s">
        <v>47</v>
      </c>
      <c r="C44" s="8" t="s">
        <v>48</v>
      </c>
      <c r="D44" s="8" t="s">
        <v>49</v>
      </c>
    </row>
    <row r="45" spans="1:9" ht="27" x14ac:dyDescent="0.25">
      <c r="A45" s="5" t="s">
        <v>23</v>
      </c>
      <c r="B45" s="4">
        <v>6</v>
      </c>
      <c r="C45" s="113" t="s">
        <v>70</v>
      </c>
      <c r="D45" s="9"/>
    </row>
    <row r="46" spans="1:9" x14ac:dyDescent="0.25">
      <c r="A46" s="1" t="s">
        <v>24</v>
      </c>
      <c r="B46" s="2">
        <v>5</v>
      </c>
      <c r="C46" s="114" t="s">
        <v>71</v>
      </c>
      <c r="D46" s="10"/>
    </row>
    <row r="47" spans="1:9" x14ac:dyDescent="0.25">
      <c r="A47" s="1" t="s">
        <v>26</v>
      </c>
      <c r="B47" s="2">
        <v>1</v>
      </c>
      <c r="C47" s="114" t="s">
        <v>83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50</v>
      </c>
      <c r="B55" s="12">
        <f>SUM(B45:B54)</f>
        <v>12</v>
      </c>
      <c r="C55" s="88" t="s">
        <v>55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45</v>
      </c>
      <c r="B57" s="7">
        <v>5</v>
      </c>
      <c r="C57" s="17"/>
      <c r="D57" s="87"/>
    </row>
    <row r="58" spans="1:4" ht="27.75" thickBot="1" x14ac:dyDescent="0.3">
      <c r="A58" s="8" t="s">
        <v>46</v>
      </c>
      <c r="B58" s="18" t="s">
        <v>47</v>
      </c>
      <c r="C58" s="8" t="s">
        <v>48</v>
      </c>
      <c r="D58" s="8" t="s">
        <v>49</v>
      </c>
    </row>
    <row r="59" spans="1:4" ht="27" x14ac:dyDescent="0.25">
      <c r="A59" s="5" t="s">
        <v>24</v>
      </c>
      <c r="B59" s="4">
        <v>11</v>
      </c>
      <c r="C59" s="113" t="s">
        <v>72</v>
      </c>
      <c r="D59" s="9"/>
    </row>
    <row r="60" spans="1:4" x14ac:dyDescent="0.25">
      <c r="A60" s="1" t="s">
        <v>26</v>
      </c>
      <c r="B60" s="2">
        <v>1</v>
      </c>
      <c r="C60" s="114" t="s">
        <v>73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50</v>
      </c>
      <c r="B69" s="12">
        <f>SUM(B59:B68)</f>
        <v>12</v>
      </c>
      <c r="C69" s="88" t="s">
        <v>55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45</v>
      </c>
      <c r="B71" s="7">
        <v>6</v>
      </c>
      <c r="C71" s="17"/>
      <c r="D71" s="87"/>
    </row>
    <row r="72" spans="1:4" ht="27.75" thickBot="1" x14ac:dyDescent="0.3">
      <c r="A72" s="8" t="s">
        <v>46</v>
      </c>
      <c r="B72" s="18" t="s">
        <v>47</v>
      </c>
      <c r="C72" s="8" t="s">
        <v>48</v>
      </c>
      <c r="D72" s="8" t="s">
        <v>49</v>
      </c>
    </row>
    <row r="73" spans="1:4" ht="27" x14ac:dyDescent="0.25">
      <c r="A73" s="5" t="s">
        <v>25</v>
      </c>
      <c r="B73" s="4">
        <v>1</v>
      </c>
      <c r="C73" s="113" t="s">
        <v>74</v>
      </c>
      <c r="D73" s="9"/>
    </row>
    <row r="74" spans="1:4" x14ac:dyDescent="0.25">
      <c r="A74" s="1" t="s">
        <v>16</v>
      </c>
      <c r="B74" s="2">
        <v>10</v>
      </c>
      <c r="C74" s="114" t="s">
        <v>75</v>
      </c>
      <c r="D74" s="10"/>
    </row>
    <row r="75" spans="1:4" x14ac:dyDescent="0.25">
      <c r="A75" s="1" t="s">
        <v>26</v>
      </c>
      <c r="B75" s="2">
        <v>1</v>
      </c>
      <c r="C75" s="114" t="s">
        <v>76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50</v>
      </c>
      <c r="B83" s="12">
        <f>SUM(B73:B82)</f>
        <v>12</v>
      </c>
      <c r="C83" s="88" t="s">
        <v>55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45</v>
      </c>
      <c r="B85" s="7">
        <v>7</v>
      </c>
      <c r="C85" s="17"/>
      <c r="D85" s="87"/>
    </row>
    <row r="86" spans="1:4" ht="27.75" thickBot="1" x14ac:dyDescent="0.3">
      <c r="A86" s="8" t="s">
        <v>46</v>
      </c>
      <c r="B86" s="18" t="s">
        <v>47</v>
      </c>
      <c r="C86" s="8" t="s">
        <v>48</v>
      </c>
      <c r="D86" s="8" t="s">
        <v>49</v>
      </c>
    </row>
    <row r="87" spans="1:4" ht="27" x14ac:dyDescent="0.25">
      <c r="A87" s="5" t="s">
        <v>23</v>
      </c>
      <c r="B87" s="4">
        <v>11</v>
      </c>
      <c r="C87" s="113" t="s">
        <v>77</v>
      </c>
      <c r="D87" s="9"/>
    </row>
    <row r="88" spans="1:4" x14ac:dyDescent="0.25">
      <c r="A88" s="1" t="s">
        <v>26</v>
      </c>
      <c r="B88" s="2">
        <v>1</v>
      </c>
      <c r="C88" s="114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50</v>
      </c>
      <c r="B97" s="12">
        <f>SUM(B87:B96)</f>
        <v>12</v>
      </c>
      <c r="C97" s="88" t="s">
        <v>55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45</v>
      </c>
      <c r="B99" s="7">
        <v>8</v>
      </c>
      <c r="C99" s="17"/>
      <c r="D99" s="87"/>
    </row>
    <row r="100" spans="1:4" ht="27.75" thickBot="1" x14ac:dyDescent="0.3">
      <c r="A100" s="8" t="s">
        <v>46</v>
      </c>
      <c r="B100" s="18" t="s">
        <v>47</v>
      </c>
      <c r="C100" s="8" t="s">
        <v>48</v>
      </c>
      <c r="D100" s="8" t="s">
        <v>49</v>
      </c>
    </row>
    <row r="101" spans="1:4" ht="40.5" x14ac:dyDescent="0.25">
      <c r="A101" s="5" t="s">
        <v>21</v>
      </c>
      <c r="B101" s="4">
        <v>2</v>
      </c>
      <c r="C101" s="113" t="s">
        <v>78</v>
      </c>
      <c r="D101" s="9"/>
    </row>
    <row r="102" spans="1:4" ht="27" x14ac:dyDescent="0.25">
      <c r="A102" s="1" t="s">
        <v>23</v>
      </c>
      <c r="B102" s="2">
        <v>9</v>
      </c>
      <c r="C102" s="114" t="s">
        <v>79</v>
      </c>
      <c r="D102" s="10"/>
    </row>
    <row r="103" spans="1:4" x14ac:dyDescent="0.25">
      <c r="A103" s="1" t="s">
        <v>26</v>
      </c>
      <c r="B103" s="2">
        <v>1</v>
      </c>
      <c r="C103" s="114" t="s">
        <v>76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50</v>
      </c>
      <c r="B111" s="12">
        <f>SUM(B101:B110)</f>
        <v>12</v>
      </c>
      <c r="C111" s="88" t="s">
        <v>55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45</v>
      </c>
      <c r="B113" s="7">
        <v>9</v>
      </c>
      <c r="C113" s="17"/>
      <c r="D113" s="87"/>
    </row>
    <row r="114" spans="1:4" ht="27.75" thickBot="1" x14ac:dyDescent="0.3">
      <c r="A114" s="8" t="s">
        <v>46</v>
      </c>
      <c r="B114" s="18" t="s">
        <v>47</v>
      </c>
      <c r="C114" s="8" t="s">
        <v>48</v>
      </c>
      <c r="D114" s="8" t="s">
        <v>49</v>
      </c>
    </row>
    <row r="115" spans="1:4" x14ac:dyDescent="0.25">
      <c r="A115" s="5" t="s">
        <v>23</v>
      </c>
      <c r="B115" s="4">
        <v>7</v>
      </c>
      <c r="C115" s="113" t="s">
        <v>81</v>
      </c>
      <c r="D115" s="9"/>
    </row>
    <row r="116" spans="1:4" ht="27" x14ac:dyDescent="0.25">
      <c r="A116" s="1" t="s">
        <v>24</v>
      </c>
      <c r="B116" s="2">
        <v>4</v>
      </c>
      <c r="C116" s="114" t="s">
        <v>80</v>
      </c>
      <c r="D116" s="10"/>
    </row>
    <row r="117" spans="1:4" x14ac:dyDescent="0.25">
      <c r="A117" s="1" t="s">
        <v>26</v>
      </c>
      <c r="B117" s="2">
        <v>1</v>
      </c>
      <c r="C117" s="114" t="s">
        <v>76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50</v>
      </c>
      <c r="B125" s="12">
        <f>SUM(B115:B124)</f>
        <v>12</v>
      </c>
      <c r="C125" s="88" t="s">
        <v>55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45</v>
      </c>
      <c r="B127" s="7">
        <v>10</v>
      </c>
      <c r="C127" s="17"/>
      <c r="D127" s="87"/>
    </row>
    <row r="128" spans="1:4" ht="27.75" thickBot="1" x14ac:dyDescent="0.3">
      <c r="A128" s="8" t="s">
        <v>46</v>
      </c>
      <c r="B128" s="18" t="s">
        <v>47</v>
      </c>
      <c r="C128" s="8" t="s">
        <v>48</v>
      </c>
      <c r="D128" s="8" t="s">
        <v>49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50</v>
      </c>
      <c r="B139" s="12">
        <f>SUM(B129:B138)</f>
        <v>0</v>
      </c>
      <c r="C139" s="88" t="s">
        <v>55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45</v>
      </c>
      <c r="B141" s="7">
        <v>11</v>
      </c>
      <c r="C141" s="17"/>
      <c r="D141" s="87"/>
    </row>
    <row r="142" spans="1:4" ht="27.75" thickBot="1" x14ac:dyDescent="0.3">
      <c r="A142" s="8" t="s">
        <v>46</v>
      </c>
      <c r="B142" s="18" t="s">
        <v>47</v>
      </c>
      <c r="C142" s="8" t="s">
        <v>48</v>
      </c>
      <c r="D142" s="8" t="s">
        <v>49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50</v>
      </c>
      <c r="B153" s="12">
        <f>SUM(B143:B152)</f>
        <v>0</v>
      </c>
      <c r="C153" s="88" t="s">
        <v>55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45</v>
      </c>
      <c r="B155" s="7">
        <v>12</v>
      </c>
      <c r="C155" s="17"/>
      <c r="D155" s="87"/>
    </row>
    <row r="156" spans="1:4" ht="27.75" thickBot="1" x14ac:dyDescent="0.3">
      <c r="A156" s="8" t="s">
        <v>46</v>
      </c>
      <c r="B156" s="18" t="s">
        <v>47</v>
      </c>
      <c r="C156" s="8" t="s">
        <v>48</v>
      </c>
      <c r="D156" s="8" t="s">
        <v>49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50</v>
      </c>
      <c r="B167" s="12">
        <f>SUM(B157:B166)</f>
        <v>0</v>
      </c>
      <c r="C167" s="88" t="s">
        <v>55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45</v>
      </c>
      <c r="B169" s="7">
        <v>13</v>
      </c>
      <c r="C169" s="17"/>
      <c r="D169" s="87"/>
    </row>
    <row r="170" spans="1:4" ht="27.75" thickBot="1" x14ac:dyDescent="0.3">
      <c r="A170" s="8" t="s">
        <v>46</v>
      </c>
      <c r="B170" s="18" t="s">
        <v>47</v>
      </c>
      <c r="C170" s="8" t="s">
        <v>48</v>
      </c>
      <c r="D170" s="8" t="s">
        <v>49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50</v>
      </c>
      <c r="B181" s="12">
        <f>SUM(B171:B180)</f>
        <v>0</v>
      </c>
      <c r="C181" s="88" t="s">
        <v>55</v>
      </c>
      <c r="D181" s="13"/>
    </row>
    <row r="182" spans="1:4" ht="14.25" x14ac:dyDescent="0.3">
      <c r="A182" s="14"/>
      <c r="B182" s="14"/>
      <c r="C182" s="14"/>
      <c r="D182" s="14"/>
    </row>
    <row r="183" spans="1:4" x14ac:dyDescent="0.25">
      <c r="A183" s="89" t="s">
        <v>56</v>
      </c>
    </row>
  </sheetData>
  <sheetProtection insertRows="0" selectLockedCells="1"/>
  <dataValidations count="4">
    <dataValidation type="list" allowBlank="1" showInputMessage="1" showErrorMessage="1" sqref="A3:A12 A171:A180 A17:A26 A31:A40 A45:A54 A59:A68 A73:A82 A87:A96 A101:A110 A129:A138 A143:A152 A157:A166 A115:A12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1:B180 B17:B26 B31:B40 B45:B54 B59:B68 B73:B82 B87:B96 B101:B110 B129:B138 B143:B152 B157:B166 B115:B12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45</v>
      </c>
      <c r="B1" s="44">
        <v>1</v>
      </c>
      <c r="C1" s="45" t="s">
        <v>57</v>
      </c>
      <c r="D1" s="54"/>
    </row>
    <row r="2" spans="1:4" ht="27.75" thickBot="1" x14ac:dyDescent="0.3">
      <c r="A2" s="46" t="s">
        <v>46</v>
      </c>
      <c r="B2" s="47" t="s">
        <v>47</v>
      </c>
      <c r="C2" s="46" t="s">
        <v>48</v>
      </c>
      <c r="D2" s="46" t="s">
        <v>49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50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40"/>
  <sheetViews>
    <sheetView tabSelected="1" topLeftCell="A184" workbookViewId="0">
      <selection activeCell="F187" sqref="F18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45</v>
      </c>
      <c r="B1" s="44">
        <v>1</v>
      </c>
      <c r="C1" s="45" t="s">
        <v>57</v>
      </c>
      <c r="D1" s="54">
        <f>Donnees!$C$9</f>
        <v>44435</v>
      </c>
    </row>
    <row r="2" spans="1:9" ht="27.75" thickBot="1" x14ac:dyDescent="0.3">
      <c r="A2" s="46" t="s">
        <v>46</v>
      </c>
      <c r="B2" s="47" t="s">
        <v>47</v>
      </c>
      <c r="C2" s="46" t="s">
        <v>48</v>
      </c>
      <c r="D2" s="46" t="s">
        <v>49</v>
      </c>
    </row>
    <row r="3" spans="1:9" s="53" customFormat="1" x14ac:dyDescent="0.25">
      <c r="A3" s="5" t="s">
        <v>17</v>
      </c>
      <c r="B3" s="4">
        <v>3</v>
      </c>
      <c r="C3" s="113" t="s">
        <v>58</v>
      </c>
      <c r="D3" s="9"/>
    </row>
    <row r="4" spans="1:9" s="53" customFormat="1" ht="27" x14ac:dyDescent="0.25">
      <c r="A4" s="1" t="s">
        <v>18</v>
      </c>
      <c r="B4" s="2">
        <v>2</v>
      </c>
      <c r="C4" s="114" t="s">
        <v>59</v>
      </c>
      <c r="D4" s="10"/>
    </row>
    <row r="5" spans="1:9" s="53" customFormat="1" x14ac:dyDescent="0.25">
      <c r="A5" s="1" t="s">
        <v>19</v>
      </c>
      <c r="B5" s="2">
        <v>5</v>
      </c>
      <c r="C5" s="114" t="s">
        <v>60</v>
      </c>
      <c r="D5" s="115" t="s">
        <v>61</v>
      </c>
    </row>
    <row r="6" spans="1:9" s="53" customFormat="1" x14ac:dyDescent="0.25">
      <c r="A6" s="1" t="s">
        <v>26</v>
      </c>
      <c r="B6" s="2">
        <v>2</v>
      </c>
      <c r="C6" s="114" t="s">
        <v>62</v>
      </c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50</v>
      </c>
      <c r="B10" s="48">
        <f>SUM(B3:B9)</f>
        <v>12</v>
      </c>
      <c r="C10" s="112" t="s">
        <v>55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45</v>
      </c>
      <c r="B12" s="44">
        <v>2</v>
      </c>
      <c r="C12" s="45" t="s">
        <v>57</v>
      </c>
      <c r="D12" s="54">
        <f>$D$1+7</f>
        <v>44442</v>
      </c>
    </row>
    <row r="13" spans="1:9" ht="27.75" thickBot="1" x14ac:dyDescent="0.3">
      <c r="A13" s="46" t="s">
        <v>46</v>
      </c>
      <c r="B13" s="47" t="s">
        <v>47</v>
      </c>
      <c r="C13" s="46" t="s">
        <v>48</v>
      </c>
      <c r="D13" s="46" t="s">
        <v>49</v>
      </c>
    </row>
    <row r="14" spans="1:9" x14ac:dyDescent="0.25">
      <c r="A14" s="5" t="s">
        <v>24</v>
      </c>
      <c r="B14" s="4">
        <v>2</v>
      </c>
      <c r="C14" s="113" t="s">
        <v>63</v>
      </c>
      <c r="D14" s="9"/>
    </row>
    <row r="15" spans="1:9" ht="40.5" x14ac:dyDescent="0.25">
      <c r="A15" s="1" t="s">
        <v>21</v>
      </c>
      <c r="B15" s="2">
        <v>4</v>
      </c>
      <c r="C15" s="114" t="s">
        <v>64</v>
      </c>
      <c r="D15" s="10"/>
    </row>
    <row r="16" spans="1:9" ht="27" x14ac:dyDescent="0.25">
      <c r="A16" s="1" t="s">
        <v>24</v>
      </c>
      <c r="B16" s="2">
        <v>6</v>
      </c>
      <c r="C16" s="114" t="s">
        <v>65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/>
      <c r="B17" s="2"/>
      <c r="C17" s="10"/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x14ac:dyDescent="0.25">
      <c r="A21" s="1"/>
      <c r="B21" s="2"/>
      <c r="C21" s="10"/>
      <c r="D21" s="10"/>
      <c r="E21" s="20"/>
      <c r="F21" s="37"/>
      <c r="G21" s="38"/>
      <c r="H21" s="38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x14ac:dyDescent="0.25">
      <c r="A26" s="51"/>
      <c r="B26" s="51"/>
      <c r="C26" s="52"/>
      <c r="D26" s="52"/>
      <c r="E26" s="20"/>
      <c r="F26" s="37"/>
      <c r="G26" s="38"/>
      <c r="H26" s="38"/>
      <c r="I26" s="20"/>
    </row>
    <row r="27" spans="1:9" x14ac:dyDescent="0.25">
      <c r="A27" s="51"/>
      <c r="B27" s="51"/>
      <c r="C27" s="52"/>
      <c r="D27" s="52"/>
      <c r="E27" s="20"/>
      <c r="F27" s="39"/>
      <c r="G27" s="40"/>
      <c r="H27" s="40"/>
      <c r="I27" s="20"/>
    </row>
    <row r="28" spans="1:9" ht="15" thickBot="1" x14ac:dyDescent="0.35">
      <c r="A28" s="3"/>
      <c r="B28" s="3"/>
      <c r="C28" s="11"/>
      <c r="D28" s="11"/>
      <c r="E28" s="20"/>
      <c r="F28" s="41"/>
      <c r="G28" s="41"/>
      <c r="H28" s="41"/>
      <c r="I28" s="20"/>
    </row>
    <row r="29" spans="1:9" ht="14.25" thickBot="1" x14ac:dyDescent="0.3">
      <c r="A29" s="48" t="s">
        <v>50</v>
      </c>
      <c r="B29" s="48">
        <f>SUM(B14:B28)</f>
        <v>12</v>
      </c>
      <c r="C29" s="112" t="s">
        <v>55</v>
      </c>
      <c r="D29" s="49"/>
      <c r="E29" s="20"/>
      <c r="F29" s="20"/>
      <c r="G29" s="20"/>
      <c r="H29" s="20"/>
      <c r="I29" s="20"/>
    </row>
    <row r="30" spans="1:9" ht="15" thickBot="1" x14ac:dyDescent="0.35">
      <c r="A30" s="50"/>
      <c r="B30" s="50"/>
      <c r="C30" s="50"/>
      <c r="D30" s="50"/>
      <c r="E30" s="20"/>
      <c r="F30" s="20"/>
      <c r="G30" s="20"/>
      <c r="H30" s="20"/>
      <c r="I30" s="20"/>
    </row>
    <row r="31" spans="1:9" ht="18.75" thickBot="1" x14ac:dyDescent="0.3">
      <c r="A31" s="43" t="s">
        <v>45</v>
      </c>
      <c r="B31" s="44">
        <v>3</v>
      </c>
      <c r="C31" s="45" t="s">
        <v>57</v>
      </c>
      <c r="D31" s="54">
        <f>$D$12+7</f>
        <v>44449</v>
      </c>
      <c r="E31" s="20"/>
      <c r="F31" s="20"/>
      <c r="G31" s="20"/>
      <c r="H31" s="20"/>
      <c r="I31" s="20"/>
    </row>
    <row r="32" spans="1:9" ht="27.75" thickBot="1" x14ac:dyDescent="0.3">
      <c r="A32" s="46" t="s">
        <v>46</v>
      </c>
      <c r="B32" s="47" t="s">
        <v>47</v>
      </c>
      <c r="C32" s="46" t="s">
        <v>48</v>
      </c>
      <c r="D32" s="46" t="s">
        <v>49</v>
      </c>
    </row>
    <row r="33" spans="1:4" ht="27" x14ac:dyDescent="0.25">
      <c r="A33" s="5" t="s">
        <v>24</v>
      </c>
      <c r="B33" s="4">
        <v>3</v>
      </c>
      <c r="C33" s="113" t="s">
        <v>66</v>
      </c>
      <c r="D33" s="9"/>
    </row>
    <row r="34" spans="1:4" ht="27" x14ac:dyDescent="0.25">
      <c r="A34" s="1" t="s">
        <v>24</v>
      </c>
      <c r="B34" s="2">
        <v>3</v>
      </c>
      <c r="C34" s="114" t="s">
        <v>67</v>
      </c>
      <c r="D34" s="10"/>
    </row>
    <row r="35" spans="1:4" x14ac:dyDescent="0.25">
      <c r="A35" s="1" t="s">
        <v>27</v>
      </c>
      <c r="B35" s="2">
        <v>1</v>
      </c>
      <c r="C35" s="114" t="s">
        <v>68</v>
      </c>
      <c r="D35" s="10"/>
    </row>
    <row r="36" spans="1:4" x14ac:dyDescent="0.25">
      <c r="A36" s="1" t="s">
        <v>23</v>
      </c>
      <c r="B36" s="2">
        <v>4</v>
      </c>
      <c r="C36" s="114" t="s">
        <v>69</v>
      </c>
      <c r="D36" s="10"/>
    </row>
    <row r="37" spans="1:4" x14ac:dyDescent="0.25">
      <c r="A37" s="1" t="s">
        <v>26</v>
      </c>
      <c r="B37" s="2">
        <v>1</v>
      </c>
      <c r="C37" s="114" t="s">
        <v>82</v>
      </c>
      <c r="D37" s="10"/>
    </row>
    <row r="38" spans="1:4" x14ac:dyDescent="0.25">
      <c r="A38" s="1"/>
      <c r="B38" s="2"/>
      <c r="C38" s="10"/>
      <c r="D38" s="10"/>
    </row>
    <row r="39" spans="1:4" x14ac:dyDescent="0.25">
      <c r="A39" s="1"/>
      <c r="B39" s="2"/>
      <c r="C39" s="10"/>
      <c r="D39" s="10"/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2"/>
      <c r="B42" s="2"/>
      <c r="C42" s="10"/>
      <c r="D42" s="10"/>
    </row>
    <row r="43" spans="1:4" x14ac:dyDescent="0.25">
      <c r="A43" s="2"/>
      <c r="B43" s="2"/>
      <c r="C43" s="10"/>
      <c r="D43" s="10"/>
    </row>
    <row r="44" spans="1:4" x14ac:dyDescent="0.25">
      <c r="A44" s="2"/>
      <c r="B44" s="2"/>
      <c r="C44" s="10"/>
      <c r="D44" s="10"/>
    </row>
    <row r="45" spans="1:4" x14ac:dyDescent="0.25">
      <c r="A45" s="51"/>
      <c r="B45" s="51"/>
      <c r="C45" s="52"/>
      <c r="D45" s="52"/>
    </row>
    <row r="46" spans="1:4" x14ac:dyDescent="0.25">
      <c r="A46" s="51"/>
      <c r="B46" s="51"/>
      <c r="C46" s="52"/>
      <c r="D46" s="52"/>
    </row>
    <row r="47" spans="1:4" ht="14.25" thickBot="1" x14ac:dyDescent="0.3">
      <c r="A47" s="3"/>
      <c r="B47" s="3"/>
      <c r="C47" s="11"/>
      <c r="D47" s="11"/>
    </row>
    <row r="48" spans="1:4" ht="14.25" thickBot="1" x14ac:dyDescent="0.3">
      <c r="A48" s="48" t="s">
        <v>50</v>
      </c>
      <c r="B48" s="48">
        <f>SUM(B33:B47)</f>
        <v>12</v>
      </c>
      <c r="C48" s="112" t="s">
        <v>55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45</v>
      </c>
      <c r="B50" s="44">
        <v>4</v>
      </c>
      <c r="C50" s="45" t="s">
        <v>57</v>
      </c>
      <c r="D50" s="54">
        <f>$D$31+7</f>
        <v>44456</v>
      </c>
    </row>
    <row r="51" spans="1:4" ht="27.75" thickBot="1" x14ac:dyDescent="0.3">
      <c r="A51" s="46" t="s">
        <v>46</v>
      </c>
      <c r="B51" s="47" t="s">
        <v>47</v>
      </c>
      <c r="C51" s="46" t="s">
        <v>48</v>
      </c>
      <c r="D51" s="46" t="s">
        <v>49</v>
      </c>
    </row>
    <row r="52" spans="1:4" ht="27" x14ac:dyDescent="0.25">
      <c r="A52" s="5" t="s">
        <v>23</v>
      </c>
      <c r="B52" s="4">
        <v>6</v>
      </c>
      <c r="C52" s="113" t="s">
        <v>70</v>
      </c>
      <c r="D52" s="9"/>
    </row>
    <row r="53" spans="1:4" x14ac:dyDescent="0.25">
      <c r="A53" s="1" t="s">
        <v>24</v>
      </c>
      <c r="B53" s="2">
        <v>5</v>
      </c>
      <c r="C53" s="114" t="s">
        <v>71</v>
      </c>
      <c r="D53" s="10"/>
    </row>
    <row r="54" spans="1:4" x14ac:dyDescent="0.25">
      <c r="A54" s="1" t="s">
        <v>26</v>
      </c>
      <c r="B54" s="2">
        <v>1</v>
      </c>
      <c r="C54" s="114" t="s">
        <v>83</v>
      </c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2"/>
      <c r="B61" s="2"/>
      <c r="C61" s="10"/>
      <c r="D61" s="10"/>
    </row>
    <row r="62" spans="1:4" x14ac:dyDescent="0.25">
      <c r="A62" s="2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51"/>
      <c r="B64" s="51"/>
      <c r="C64" s="52"/>
      <c r="D64" s="52"/>
    </row>
    <row r="65" spans="1:4" x14ac:dyDescent="0.25">
      <c r="A65" s="51"/>
      <c r="B65" s="51"/>
      <c r="C65" s="52"/>
      <c r="D65" s="52"/>
    </row>
    <row r="66" spans="1:4" ht="14.25" thickBot="1" x14ac:dyDescent="0.3">
      <c r="A66" s="3"/>
      <c r="B66" s="3"/>
      <c r="C66" s="11"/>
      <c r="D66" s="11"/>
    </row>
    <row r="67" spans="1:4" ht="14.25" thickBot="1" x14ac:dyDescent="0.3">
      <c r="A67" s="48" t="s">
        <v>50</v>
      </c>
      <c r="B67" s="48">
        <f>SUM(B52:B66)</f>
        <v>12</v>
      </c>
      <c r="C67" s="112" t="s">
        <v>55</v>
      </c>
      <c r="D67" s="49"/>
    </row>
    <row r="68" spans="1:4" ht="15" thickBot="1" x14ac:dyDescent="0.35">
      <c r="A68" s="50"/>
      <c r="B68" s="50"/>
      <c r="C68" s="50"/>
      <c r="D68" s="50"/>
    </row>
    <row r="69" spans="1:4" ht="18.75" thickBot="1" x14ac:dyDescent="0.3">
      <c r="A69" s="43" t="s">
        <v>45</v>
      </c>
      <c r="B69" s="44">
        <v>5</v>
      </c>
      <c r="C69" s="45" t="s">
        <v>57</v>
      </c>
      <c r="D69" s="54">
        <f>$D$50+7</f>
        <v>44463</v>
      </c>
    </row>
    <row r="70" spans="1:4" ht="27.75" thickBot="1" x14ac:dyDescent="0.3">
      <c r="A70" s="46" t="s">
        <v>46</v>
      </c>
      <c r="B70" s="47" t="s">
        <v>47</v>
      </c>
      <c r="C70" s="46" t="s">
        <v>48</v>
      </c>
      <c r="D70" s="46" t="s">
        <v>49</v>
      </c>
    </row>
    <row r="71" spans="1:4" ht="27" x14ac:dyDescent="0.25">
      <c r="A71" s="5" t="s">
        <v>24</v>
      </c>
      <c r="B71" s="4">
        <v>11</v>
      </c>
      <c r="C71" s="113" t="s">
        <v>72</v>
      </c>
      <c r="D71" s="9"/>
    </row>
    <row r="72" spans="1:4" x14ac:dyDescent="0.25">
      <c r="A72" s="1" t="s">
        <v>26</v>
      </c>
      <c r="B72" s="2">
        <v>1</v>
      </c>
      <c r="C72" s="114" t="s">
        <v>73</v>
      </c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51"/>
      <c r="B83" s="51"/>
      <c r="C83" s="52"/>
      <c r="D83" s="52"/>
    </row>
    <row r="84" spans="1:4" x14ac:dyDescent="0.25">
      <c r="A84" s="51"/>
      <c r="B84" s="51"/>
      <c r="C84" s="52"/>
      <c r="D84" s="52"/>
    </row>
    <row r="85" spans="1:4" ht="14.25" thickBot="1" x14ac:dyDescent="0.3">
      <c r="A85" s="3"/>
      <c r="B85" s="3"/>
      <c r="C85" s="11"/>
      <c r="D85" s="11"/>
    </row>
    <row r="86" spans="1:4" ht="14.25" thickBot="1" x14ac:dyDescent="0.3">
      <c r="A86" s="48" t="s">
        <v>50</v>
      </c>
      <c r="B86" s="48">
        <f>SUM(B71:B85)</f>
        <v>12</v>
      </c>
      <c r="C86" s="112" t="s">
        <v>55</v>
      </c>
      <c r="D86" s="49"/>
    </row>
    <row r="87" spans="1:4" ht="15" thickBot="1" x14ac:dyDescent="0.35">
      <c r="A87" s="50"/>
      <c r="B87" s="50"/>
      <c r="C87" s="50"/>
      <c r="D87" s="50"/>
    </row>
    <row r="88" spans="1:4" ht="18.75" thickBot="1" x14ac:dyDescent="0.3">
      <c r="A88" s="43" t="s">
        <v>45</v>
      </c>
      <c r="B88" s="44">
        <v>6</v>
      </c>
      <c r="C88" s="45" t="s">
        <v>57</v>
      </c>
      <c r="D88" s="54">
        <f>$D$69+7</f>
        <v>44470</v>
      </c>
    </row>
    <row r="89" spans="1:4" ht="27.75" thickBot="1" x14ac:dyDescent="0.3">
      <c r="A89" s="46" t="s">
        <v>46</v>
      </c>
      <c r="B89" s="47" t="s">
        <v>47</v>
      </c>
      <c r="C89" s="46" t="s">
        <v>48</v>
      </c>
      <c r="D89" s="46" t="s">
        <v>49</v>
      </c>
    </row>
    <row r="90" spans="1:4" ht="27" x14ac:dyDescent="0.25">
      <c r="A90" s="5" t="s">
        <v>25</v>
      </c>
      <c r="B90" s="4">
        <v>1</v>
      </c>
      <c r="C90" s="113" t="s">
        <v>74</v>
      </c>
      <c r="D90" s="9"/>
    </row>
    <row r="91" spans="1:4" x14ac:dyDescent="0.25">
      <c r="A91" s="1" t="s">
        <v>16</v>
      </c>
      <c r="B91" s="2">
        <v>10</v>
      </c>
      <c r="C91" s="114" t="s">
        <v>75</v>
      </c>
      <c r="D91" s="10"/>
    </row>
    <row r="92" spans="1:4" x14ac:dyDescent="0.25">
      <c r="A92" s="1" t="s">
        <v>26</v>
      </c>
      <c r="B92" s="2">
        <v>1</v>
      </c>
      <c r="C92" s="114" t="s">
        <v>76</v>
      </c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2"/>
      <c r="B99" s="2"/>
      <c r="C99" s="10"/>
      <c r="D99" s="10"/>
    </row>
    <row r="100" spans="1:4" x14ac:dyDescent="0.25">
      <c r="A100" s="2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51"/>
      <c r="B102" s="51"/>
      <c r="C102" s="52"/>
      <c r="D102" s="52"/>
    </row>
    <row r="103" spans="1:4" x14ac:dyDescent="0.25">
      <c r="A103" s="51"/>
      <c r="B103" s="51"/>
      <c r="C103" s="52"/>
      <c r="D103" s="52"/>
    </row>
    <row r="104" spans="1:4" ht="14.25" thickBot="1" x14ac:dyDescent="0.3">
      <c r="A104" s="3"/>
      <c r="B104" s="3"/>
      <c r="C104" s="11"/>
      <c r="D104" s="11"/>
    </row>
    <row r="105" spans="1:4" ht="14.25" thickBot="1" x14ac:dyDescent="0.3">
      <c r="A105" s="48" t="s">
        <v>50</v>
      </c>
      <c r="B105" s="48">
        <f>SUM(B90:B104)</f>
        <v>12</v>
      </c>
      <c r="C105" s="112" t="s">
        <v>55</v>
      </c>
      <c r="D105" s="49"/>
    </row>
    <row r="106" spans="1:4" ht="15" thickBot="1" x14ac:dyDescent="0.35">
      <c r="A106" s="50"/>
      <c r="B106" s="50"/>
      <c r="C106" s="50"/>
      <c r="D106" s="50"/>
    </row>
    <row r="107" spans="1:4" ht="18.75" thickBot="1" x14ac:dyDescent="0.3">
      <c r="A107" s="43" t="s">
        <v>45</v>
      </c>
      <c r="B107" s="44">
        <v>7</v>
      </c>
      <c r="C107" s="45" t="s">
        <v>57</v>
      </c>
      <c r="D107" s="54">
        <f>$D$88+7</f>
        <v>44477</v>
      </c>
    </row>
    <row r="108" spans="1:4" ht="27.75" thickBot="1" x14ac:dyDescent="0.3">
      <c r="A108" s="46" t="s">
        <v>46</v>
      </c>
      <c r="B108" s="47" t="s">
        <v>47</v>
      </c>
      <c r="C108" s="46" t="s">
        <v>48</v>
      </c>
      <c r="D108" s="46" t="s">
        <v>49</v>
      </c>
    </row>
    <row r="109" spans="1:4" ht="27" x14ac:dyDescent="0.25">
      <c r="A109" s="5" t="s">
        <v>23</v>
      </c>
      <c r="B109" s="4">
        <v>11</v>
      </c>
      <c r="C109" s="113" t="s">
        <v>77</v>
      </c>
      <c r="D109" s="9"/>
    </row>
    <row r="110" spans="1:4" x14ac:dyDescent="0.25">
      <c r="A110" s="1" t="s">
        <v>26</v>
      </c>
      <c r="B110" s="2">
        <v>1</v>
      </c>
      <c r="C110" s="114" t="s">
        <v>76</v>
      </c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2"/>
      <c r="B118" s="2"/>
      <c r="C118" s="10"/>
      <c r="D118" s="10"/>
    </row>
    <row r="119" spans="1:4" x14ac:dyDescent="0.25">
      <c r="A119" s="2"/>
      <c r="B119" s="2"/>
      <c r="C119" s="10"/>
      <c r="D119" s="10"/>
    </row>
    <row r="120" spans="1:4" x14ac:dyDescent="0.25">
      <c r="A120" s="2"/>
      <c r="B120" s="2"/>
      <c r="C120" s="10"/>
      <c r="D120" s="10"/>
    </row>
    <row r="121" spans="1:4" x14ac:dyDescent="0.25">
      <c r="A121" s="51"/>
      <c r="B121" s="51"/>
      <c r="C121" s="52"/>
      <c r="D121" s="52"/>
    </row>
    <row r="122" spans="1:4" x14ac:dyDescent="0.25">
      <c r="A122" s="51"/>
      <c r="B122" s="51"/>
      <c r="C122" s="52"/>
      <c r="D122" s="52"/>
    </row>
    <row r="123" spans="1:4" ht="14.25" thickBot="1" x14ac:dyDescent="0.3">
      <c r="A123" s="3"/>
      <c r="B123" s="3"/>
      <c r="C123" s="11"/>
      <c r="D123" s="11"/>
    </row>
    <row r="124" spans="1:4" ht="14.25" thickBot="1" x14ac:dyDescent="0.3">
      <c r="A124" s="48" t="s">
        <v>50</v>
      </c>
      <c r="B124" s="48">
        <f>SUM(B109:B123)</f>
        <v>12</v>
      </c>
      <c r="C124" s="112" t="s">
        <v>55</v>
      </c>
      <c r="D124" s="49"/>
    </row>
    <row r="125" spans="1:4" ht="15" thickBot="1" x14ac:dyDescent="0.35">
      <c r="A125" s="50"/>
      <c r="B125" s="50"/>
      <c r="C125" s="50"/>
      <c r="D125" s="50"/>
    </row>
    <row r="126" spans="1:4" ht="18.75" thickBot="1" x14ac:dyDescent="0.3">
      <c r="A126" s="43" t="s">
        <v>45</v>
      </c>
      <c r="B126" s="44">
        <v>8</v>
      </c>
      <c r="C126" s="45" t="s">
        <v>57</v>
      </c>
      <c r="D126" s="54">
        <f>$D$107+7</f>
        <v>44484</v>
      </c>
    </row>
    <row r="127" spans="1:4" ht="27.75" thickBot="1" x14ac:dyDescent="0.3">
      <c r="A127" s="46" t="s">
        <v>46</v>
      </c>
      <c r="B127" s="47" t="s">
        <v>47</v>
      </c>
      <c r="C127" s="46" t="s">
        <v>48</v>
      </c>
      <c r="D127" s="46" t="s">
        <v>49</v>
      </c>
    </row>
    <row r="128" spans="1:4" ht="40.5" x14ac:dyDescent="0.25">
      <c r="A128" s="5" t="s">
        <v>21</v>
      </c>
      <c r="B128" s="4">
        <v>2</v>
      </c>
      <c r="C128" s="113" t="s">
        <v>78</v>
      </c>
      <c r="D128" s="9"/>
    </row>
    <row r="129" spans="1:4" ht="27" x14ac:dyDescent="0.25">
      <c r="A129" s="1" t="s">
        <v>23</v>
      </c>
      <c r="B129" s="2">
        <v>9</v>
      </c>
      <c r="C129" s="114" t="s">
        <v>79</v>
      </c>
      <c r="D129" s="10"/>
    </row>
    <row r="130" spans="1:4" x14ac:dyDescent="0.25">
      <c r="A130" s="1" t="s">
        <v>26</v>
      </c>
      <c r="B130" s="2">
        <v>1</v>
      </c>
      <c r="C130" s="114" t="s">
        <v>76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x14ac:dyDescent="0.25">
      <c r="A138" s="2"/>
      <c r="B138" s="2"/>
      <c r="C138" s="10"/>
      <c r="D138" s="10"/>
    </row>
    <row r="139" spans="1:4" x14ac:dyDescent="0.25">
      <c r="A139" s="2"/>
      <c r="B139" s="2"/>
      <c r="C139" s="10"/>
      <c r="D139" s="10"/>
    </row>
    <row r="140" spans="1:4" x14ac:dyDescent="0.25">
      <c r="A140" s="51"/>
      <c r="B140" s="51"/>
      <c r="C140" s="52"/>
      <c r="D140" s="52"/>
    </row>
    <row r="141" spans="1:4" x14ac:dyDescent="0.25">
      <c r="A141" s="51"/>
      <c r="B141" s="51"/>
      <c r="C141" s="52"/>
      <c r="D141" s="52"/>
    </row>
    <row r="142" spans="1:4" ht="14.25" thickBot="1" x14ac:dyDescent="0.3">
      <c r="A142" s="3"/>
      <c r="B142" s="3"/>
      <c r="C142" s="11"/>
      <c r="D142" s="11"/>
    </row>
    <row r="143" spans="1:4" ht="14.25" thickBot="1" x14ac:dyDescent="0.3">
      <c r="A143" s="48" t="s">
        <v>50</v>
      </c>
      <c r="B143" s="48">
        <f>SUM(B128:B142)</f>
        <v>12</v>
      </c>
      <c r="C143" s="112" t="s">
        <v>55</v>
      </c>
      <c r="D143" s="49"/>
    </row>
    <row r="144" spans="1:4" ht="15" thickBot="1" x14ac:dyDescent="0.35">
      <c r="A144" s="50"/>
      <c r="B144" s="50"/>
      <c r="C144" s="50"/>
      <c r="D144" s="50"/>
    </row>
    <row r="145" spans="1:4" ht="18.75" thickBot="1" x14ac:dyDescent="0.3">
      <c r="A145" s="43" t="s">
        <v>45</v>
      </c>
      <c r="B145" s="44">
        <v>9</v>
      </c>
      <c r="C145" s="45" t="s">
        <v>57</v>
      </c>
      <c r="D145" s="54">
        <f>$D$126+21</f>
        <v>44505</v>
      </c>
    </row>
    <row r="146" spans="1:4" ht="27.75" thickBot="1" x14ac:dyDescent="0.3">
      <c r="A146" s="46" t="s">
        <v>46</v>
      </c>
      <c r="B146" s="47" t="s">
        <v>47</v>
      </c>
      <c r="C146" s="46" t="s">
        <v>48</v>
      </c>
      <c r="D146" s="46" t="s">
        <v>49</v>
      </c>
    </row>
    <row r="147" spans="1:4" x14ac:dyDescent="0.25">
      <c r="A147" s="5" t="s">
        <v>23</v>
      </c>
      <c r="B147" s="4">
        <v>7</v>
      </c>
      <c r="C147" s="113" t="s">
        <v>81</v>
      </c>
      <c r="D147" s="9"/>
    </row>
    <row r="148" spans="1:4" ht="27" x14ac:dyDescent="0.25">
      <c r="A148" s="1" t="s">
        <v>24</v>
      </c>
      <c r="B148" s="2">
        <v>4</v>
      </c>
      <c r="C148" s="114" t="s">
        <v>80</v>
      </c>
      <c r="D148" s="10"/>
    </row>
    <row r="149" spans="1:4" x14ac:dyDescent="0.25">
      <c r="A149" s="1" t="s">
        <v>26</v>
      </c>
      <c r="B149" s="2">
        <v>1</v>
      </c>
      <c r="C149" s="114" t="s">
        <v>76</v>
      </c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2"/>
      <c r="B156" s="2"/>
      <c r="C156" s="10"/>
      <c r="D156" s="10"/>
    </row>
    <row r="157" spans="1:4" x14ac:dyDescent="0.25">
      <c r="A157" s="2"/>
      <c r="B157" s="2"/>
      <c r="C157" s="10"/>
      <c r="D157" s="10"/>
    </row>
    <row r="158" spans="1:4" x14ac:dyDescent="0.25">
      <c r="A158" s="2"/>
      <c r="B158" s="2"/>
      <c r="C158" s="10"/>
      <c r="D158" s="10"/>
    </row>
    <row r="159" spans="1:4" x14ac:dyDescent="0.25">
      <c r="A159" s="51"/>
      <c r="B159" s="51"/>
      <c r="C159" s="52"/>
      <c r="D159" s="52"/>
    </row>
    <row r="160" spans="1:4" x14ac:dyDescent="0.25">
      <c r="A160" s="51"/>
      <c r="B160" s="51"/>
      <c r="C160" s="52"/>
      <c r="D160" s="52"/>
    </row>
    <row r="161" spans="1:4" ht="14.25" thickBot="1" x14ac:dyDescent="0.3">
      <c r="A161" s="3"/>
      <c r="B161" s="3"/>
      <c r="C161" s="11"/>
      <c r="D161" s="11"/>
    </row>
    <row r="162" spans="1:4" ht="14.25" thickBot="1" x14ac:dyDescent="0.3">
      <c r="A162" s="48" t="s">
        <v>50</v>
      </c>
      <c r="B162" s="48">
        <f>SUM(B147:B161)</f>
        <v>12</v>
      </c>
      <c r="C162" s="112" t="s">
        <v>55</v>
      </c>
      <c r="D162" s="49"/>
    </row>
    <row r="163" spans="1:4" ht="15" thickBot="1" x14ac:dyDescent="0.35">
      <c r="A163" s="50"/>
      <c r="B163" s="50"/>
      <c r="C163" s="50"/>
      <c r="D163" s="50"/>
    </row>
    <row r="164" spans="1:4" ht="18.75" thickBot="1" x14ac:dyDescent="0.3">
      <c r="A164" s="43" t="s">
        <v>45</v>
      </c>
      <c r="B164" s="44">
        <v>10</v>
      </c>
      <c r="C164" s="45" t="s">
        <v>57</v>
      </c>
      <c r="D164" s="54">
        <f>$D$145+7</f>
        <v>44512</v>
      </c>
    </row>
    <row r="165" spans="1:4" ht="27.75" thickBot="1" x14ac:dyDescent="0.3">
      <c r="A165" s="46" t="s">
        <v>46</v>
      </c>
      <c r="B165" s="47" t="s">
        <v>47</v>
      </c>
      <c r="C165" s="46" t="s">
        <v>48</v>
      </c>
      <c r="D165" s="46" t="s">
        <v>49</v>
      </c>
    </row>
    <row r="166" spans="1:4" x14ac:dyDescent="0.25">
      <c r="A166" s="5" t="s">
        <v>23</v>
      </c>
      <c r="B166" s="4">
        <v>4</v>
      </c>
      <c r="C166" s="113" t="s">
        <v>85</v>
      </c>
      <c r="D166" s="9"/>
    </row>
    <row r="167" spans="1:4" x14ac:dyDescent="0.25">
      <c r="A167" s="1" t="s">
        <v>24</v>
      </c>
      <c r="B167" s="2">
        <v>7</v>
      </c>
      <c r="C167" s="114" t="s">
        <v>84</v>
      </c>
      <c r="D167" s="10"/>
    </row>
    <row r="168" spans="1:4" x14ac:dyDescent="0.25">
      <c r="A168" s="1" t="s">
        <v>26</v>
      </c>
      <c r="B168" s="2">
        <v>1</v>
      </c>
      <c r="C168" s="114" t="s">
        <v>76</v>
      </c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2"/>
      <c r="B175" s="2"/>
      <c r="C175" s="10"/>
      <c r="D175" s="10"/>
    </row>
    <row r="176" spans="1:4" x14ac:dyDescent="0.25">
      <c r="A176" s="2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51"/>
      <c r="B178" s="51"/>
      <c r="C178" s="52"/>
      <c r="D178" s="52"/>
    </row>
    <row r="179" spans="1:4" x14ac:dyDescent="0.25">
      <c r="A179" s="51"/>
      <c r="B179" s="51"/>
      <c r="C179" s="52"/>
      <c r="D179" s="52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48" t="s">
        <v>50</v>
      </c>
      <c r="B181" s="48">
        <f>SUM(B166:B180)</f>
        <v>12</v>
      </c>
      <c r="C181" s="112" t="s">
        <v>55</v>
      </c>
      <c r="D181" s="49"/>
    </row>
    <row r="182" spans="1:4" ht="15" thickBot="1" x14ac:dyDescent="0.35">
      <c r="A182" s="50"/>
      <c r="B182" s="50"/>
      <c r="C182" s="50"/>
      <c r="D182" s="50"/>
    </row>
    <row r="183" spans="1:4" ht="18.75" thickBot="1" x14ac:dyDescent="0.3">
      <c r="A183" s="43" t="s">
        <v>45</v>
      </c>
      <c r="B183" s="44">
        <v>11</v>
      </c>
      <c r="C183" s="45" t="s">
        <v>57</v>
      </c>
      <c r="D183" s="54">
        <f>$D$164+7</f>
        <v>44519</v>
      </c>
    </row>
    <row r="184" spans="1:4" ht="27.75" thickBot="1" x14ac:dyDescent="0.3">
      <c r="A184" s="46" t="s">
        <v>46</v>
      </c>
      <c r="B184" s="47" t="s">
        <v>47</v>
      </c>
      <c r="C184" s="46" t="s">
        <v>48</v>
      </c>
      <c r="D184" s="46" t="s">
        <v>49</v>
      </c>
    </row>
    <row r="185" spans="1:4" ht="27" x14ac:dyDescent="0.25">
      <c r="A185" s="5" t="s">
        <v>20</v>
      </c>
      <c r="B185" s="4">
        <v>11</v>
      </c>
      <c r="C185" s="113" t="s">
        <v>86</v>
      </c>
      <c r="D185" s="9"/>
    </row>
    <row r="186" spans="1:4" x14ac:dyDescent="0.25">
      <c r="A186" s="1" t="s">
        <v>26</v>
      </c>
      <c r="B186" s="2">
        <v>1</v>
      </c>
      <c r="C186" s="114" t="s">
        <v>76</v>
      </c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1"/>
      <c r="B191" s="2"/>
      <c r="C191" s="10"/>
      <c r="D191" s="10"/>
    </row>
    <row r="192" spans="1:4" x14ac:dyDescent="0.25">
      <c r="A192" s="1"/>
      <c r="B192" s="2"/>
      <c r="C192" s="10"/>
      <c r="D192" s="10"/>
    </row>
    <row r="193" spans="1:4" x14ac:dyDescent="0.25">
      <c r="A193" s="1"/>
      <c r="B193" s="2"/>
      <c r="C193" s="10"/>
      <c r="D193" s="10"/>
    </row>
    <row r="194" spans="1:4" x14ac:dyDescent="0.25">
      <c r="A194" s="2"/>
      <c r="B194" s="2"/>
      <c r="C194" s="10"/>
      <c r="D194" s="10"/>
    </row>
    <row r="195" spans="1:4" x14ac:dyDescent="0.25">
      <c r="A195" s="2"/>
      <c r="B195" s="2"/>
      <c r="C195" s="10"/>
      <c r="D195" s="10"/>
    </row>
    <row r="196" spans="1:4" x14ac:dyDescent="0.25">
      <c r="A196" s="2"/>
      <c r="B196" s="2"/>
      <c r="C196" s="10"/>
      <c r="D196" s="10"/>
    </row>
    <row r="197" spans="1:4" x14ac:dyDescent="0.25">
      <c r="A197" s="51"/>
      <c r="B197" s="51"/>
      <c r="C197" s="52"/>
      <c r="D197" s="52"/>
    </row>
    <row r="198" spans="1:4" x14ac:dyDescent="0.25">
      <c r="A198" s="51"/>
      <c r="B198" s="51"/>
      <c r="C198" s="52"/>
      <c r="D198" s="52"/>
    </row>
    <row r="199" spans="1:4" ht="14.25" thickBot="1" x14ac:dyDescent="0.3">
      <c r="A199" s="3"/>
      <c r="B199" s="3"/>
      <c r="C199" s="11"/>
      <c r="D199" s="11"/>
    </row>
    <row r="200" spans="1:4" ht="14.25" thickBot="1" x14ac:dyDescent="0.3">
      <c r="A200" s="48" t="s">
        <v>50</v>
      </c>
      <c r="B200" s="48">
        <f>SUM(B185:B199)</f>
        <v>12</v>
      </c>
      <c r="C200" s="112" t="s">
        <v>55</v>
      </c>
      <c r="D200" s="49"/>
    </row>
    <row r="201" spans="1:4" ht="15" thickBot="1" x14ac:dyDescent="0.35">
      <c r="A201" s="50"/>
      <c r="B201" s="50"/>
      <c r="C201" s="50"/>
      <c r="D201" s="50"/>
    </row>
    <row r="202" spans="1:4" ht="18.75" thickBot="1" x14ac:dyDescent="0.3">
      <c r="A202" s="43" t="s">
        <v>45</v>
      </c>
      <c r="B202" s="44">
        <v>12</v>
      </c>
      <c r="C202" s="45" t="s">
        <v>57</v>
      </c>
      <c r="D202" s="54">
        <f>$D$183+7</f>
        <v>44526</v>
      </c>
    </row>
    <row r="203" spans="1:4" ht="27.75" thickBot="1" x14ac:dyDescent="0.3">
      <c r="A203" s="46" t="s">
        <v>46</v>
      </c>
      <c r="B203" s="47" t="s">
        <v>47</v>
      </c>
      <c r="C203" s="46" t="s">
        <v>48</v>
      </c>
      <c r="D203" s="46" t="s">
        <v>49</v>
      </c>
    </row>
    <row r="204" spans="1:4" x14ac:dyDescent="0.25">
      <c r="A204" s="5" t="s">
        <v>16</v>
      </c>
      <c r="B204" s="4">
        <v>3</v>
      </c>
      <c r="C204" s="113" t="s">
        <v>87</v>
      </c>
      <c r="D204" s="9"/>
    </row>
    <row r="205" spans="1:4" ht="27" x14ac:dyDescent="0.25">
      <c r="A205" s="1" t="s">
        <v>24</v>
      </c>
      <c r="B205" s="2">
        <v>8</v>
      </c>
      <c r="C205" s="114" t="s">
        <v>88</v>
      </c>
      <c r="D205" s="10"/>
    </row>
    <row r="206" spans="1:4" x14ac:dyDescent="0.25">
      <c r="A206" s="1" t="s">
        <v>26</v>
      </c>
      <c r="B206" s="2">
        <v>1</v>
      </c>
      <c r="C206" s="114" t="s">
        <v>76</v>
      </c>
      <c r="D206" s="10"/>
    </row>
    <row r="207" spans="1:4" x14ac:dyDescent="0.25">
      <c r="A207" s="1"/>
      <c r="B207" s="2"/>
      <c r="C207" s="10"/>
      <c r="D207" s="10"/>
    </row>
    <row r="208" spans="1:4" x14ac:dyDescent="0.25">
      <c r="A208" s="1"/>
      <c r="B208" s="2"/>
      <c r="C208" s="10"/>
      <c r="D208" s="10"/>
    </row>
    <row r="209" spans="1:4" x14ac:dyDescent="0.25">
      <c r="A209" s="1"/>
      <c r="B209" s="2"/>
      <c r="C209" s="10"/>
      <c r="D209" s="10"/>
    </row>
    <row r="210" spans="1:4" x14ac:dyDescent="0.25">
      <c r="A210" s="1"/>
      <c r="B210" s="2"/>
      <c r="C210" s="10"/>
      <c r="D210" s="10"/>
    </row>
    <row r="211" spans="1:4" x14ac:dyDescent="0.25">
      <c r="A211" s="1"/>
      <c r="B211" s="2"/>
      <c r="C211" s="10"/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2"/>
      <c r="B213" s="2"/>
      <c r="C213" s="10"/>
      <c r="D213" s="10"/>
    </row>
    <row r="214" spans="1:4" x14ac:dyDescent="0.25">
      <c r="A214" s="2"/>
      <c r="B214" s="2"/>
      <c r="C214" s="10"/>
      <c r="D214" s="10"/>
    </row>
    <row r="215" spans="1:4" x14ac:dyDescent="0.25">
      <c r="A215" s="2"/>
      <c r="B215" s="2"/>
      <c r="C215" s="10"/>
      <c r="D215" s="10"/>
    </row>
    <row r="216" spans="1:4" x14ac:dyDescent="0.25">
      <c r="A216" s="51"/>
      <c r="B216" s="51"/>
      <c r="C216" s="52"/>
      <c r="D216" s="52"/>
    </row>
    <row r="217" spans="1:4" x14ac:dyDescent="0.25">
      <c r="A217" s="51"/>
      <c r="B217" s="51"/>
      <c r="C217" s="52"/>
      <c r="D217" s="52"/>
    </row>
    <row r="218" spans="1:4" ht="14.25" thickBot="1" x14ac:dyDescent="0.3">
      <c r="A218" s="3"/>
      <c r="B218" s="3"/>
      <c r="C218" s="11"/>
      <c r="D218" s="11"/>
    </row>
    <row r="219" spans="1:4" ht="14.25" thickBot="1" x14ac:dyDescent="0.3">
      <c r="A219" s="48" t="s">
        <v>50</v>
      </c>
      <c r="B219" s="48">
        <f>SUM(B204:B218)</f>
        <v>12</v>
      </c>
      <c r="C219" s="112" t="s">
        <v>55</v>
      </c>
      <c r="D219" s="49"/>
    </row>
    <row r="220" spans="1:4" ht="15" thickBot="1" x14ac:dyDescent="0.35">
      <c r="A220" s="50"/>
      <c r="B220" s="50"/>
      <c r="C220" s="50"/>
      <c r="D220" s="50"/>
    </row>
    <row r="221" spans="1:4" ht="18.75" thickBot="1" x14ac:dyDescent="0.3">
      <c r="A221" s="43" t="s">
        <v>45</v>
      </c>
      <c r="B221" s="44">
        <v>13</v>
      </c>
      <c r="C221" s="45" t="s">
        <v>57</v>
      </c>
      <c r="D221" s="54">
        <f>$D$202+7</f>
        <v>44533</v>
      </c>
    </row>
    <row r="222" spans="1:4" ht="27.75" thickBot="1" x14ac:dyDescent="0.3">
      <c r="A222" s="46" t="s">
        <v>46</v>
      </c>
      <c r="B222" s="47" t="s">
        <v>47</v>
      </c>
      <c r="C222" s="46" t="s">
        <v>48</v>
      </c>
      <c r="D222" s="46" t="s">
        <v>49</v>
      </c>
    </row>
    <row r="223" spans="1:4" x14ac:dyDescent="0.25">
      <c r="A223" s="5"/>
      <c r="B223" s="4"/>
      <c r="C223" s="9"/>
      <c r="D223" s="9"/>
    </row>
    <row r="224" spans="1:4" x14ac:dyDescent="0.25">
      <c r="A224" s="1"/>
      <c r="B224" s="2"/>
      <c r="C224" s="10"/>
      <c r="D224" s="10"/>
    </row>
    <row r="225" spans="1:4" x14ac:dyDescent="0.25">
      <c r="A225" s="1"/>
      <c r="B225" s="2"/>
      <c r="C225" s="10"/>
      <c r="D225" s="10"/>
    </row>
    <row r="226" spans="1:4" x14ac:dyDescent="0.25">
      <c r="A226" s="1"/>
      <c r="B226" s="2"/>
      <c r="C226" s="10"/>
      <c r="D226" s="10"/>
    </row>
    <row r="227" spans="1:4" x14ac:dyDescent="0.25">
      <c r="A227" s="1"/>
      <c r="B227" s="2"/>
      <c r="C227" s="10"/>
      <c r="D227" s="10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2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51"/>
      <c r="B235" s="51"/>
      <c r="C235" s="52"/>
      <c r="D235" s="52"/>
    </row>
    <row r="236" spans="1:4" x14ac:dyDescent="0.25">
      <c r="A236" s="51"/>
      <c r="B236" s="51"/>
      <c r="C236" s="52"/>
      <c r="D236" s="52"/>
    </row>
    <row r="237" spans="1:4" ht="14.25" thickBot="1" x14ac:dyDescent="0.3">
      <c r="A237" s="3"/>
      <c r="B237" s="3"/>
      <c r="C237" s="11"/>
      <c r="D237" s="11"/>
    </row>
    <row r="238" spans="1:4" ht="14.25" thickBot="1" x14ac:dyDescent="0.3">
      <c r="A238" s="48" t="s">
        <v>50</v>
      </c>
      <c r="B238" s="48">
        <f>SUM(B223:B237)</f>
        <v>0</v>
      </c>
      <c r="C238" s="112" t="s">
        <v>55</v>
      </c>
      <c r="D238" s="49"/>
    </row>
    <row r="239" spans="1:4" ht="14.25" x14ac:dyDescent="0.3">
      <c r="A239" s="50"/>
      <c r="B239" s="50"/>
      <c r="C239" s="50"/>
      <c r="D239" s="50"/>
    </row>
    <row r="240" spans="1:4" x14ac:dyDescent="0.25">
      <c r="A240" s="89" t="s">
        <v>56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7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19:F26 B3:B9 B14:B28 B33:B47 B223:B237 B71:B85 B90:B104 B52:B66 B109:B123 B128:B142 B147:B161 B166:B180 B185:B199 B204:B21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9 B48 B67 B86 B105 B124 B143 B162 B181 B200 B219 B238">
      <formula1>0</formula1>
      <formula2>NbPerWeek * NbQuartPer</formula2>
    </dataValidation>
    <dataValidation type="list" allowBlank="1" showInputMessage="1" showErrorMessage="1" sqref="A3:A9 A14:A28 A33:A47 A223:A237 A71:A85 A90:A104 A52:A66 A109:A123 A128:A142 A147:A161 A166:A180 A185:A199 A204:A218">
      <formula1>lstTasks</formula1>
    </dataValidation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Hectoralexis Rojasaldana</cp:lastModifiedBy>
  <cp:revision/>
  <dcterms:created xsi:type="dcterms:W3CDTF">1996-10-21T11:03:58Z</dcterms:created>
  <dcterms:modified xsi:type="dcterms:W3CDTF">2021-11-26T14:10:44Z</dcterms:modified>
  <cp:category/>
  <cp:contentStatus/>
</cp:coreProperties>
</file>