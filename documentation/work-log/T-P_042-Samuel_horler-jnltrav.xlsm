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amhorler\Downloads\"/>
    </mc:Choice>
  </mc:AlternateContent>
  <bookViews>
    <workbookView xWindow="0" yWindow="0" windowWidth="17895" windowHeight="8055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2" r:id="rId6"/>
    <sheet name="achievementWeek" sheetId="154" state="hidden" r:id="rId7"/>
    <sheet name="JNLTRAV" sheetId="163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63" l="1"/>
  <c r="D12" i="163" s="1"/>
  <c r="D22" i="163" s="1"/>
  <c r="D41" i="163" s="1"/>
  <c r="D60" i="163" s="1"/>
  <c r="D79" i="163" s="1"/>
  <c r="D98" i="163" s="1"/>
  <c r="D117" i="163" s="1"/>
  <c r="D136" i="163" s="1"/>
  <c r="D155" i="163" s="1"/>
  <c r="D174" i="163" s="1"/>
  <c r="D193" i="163" s="1"/>
  <c r="D212" i="163" s="1"/>
  <c r="B229" i="163"/>
  <c r="B210" i="163"/>
  <c r="B191" i="163"/>
  <c r="B172" i="163"/>
  <c r="B153" i="163"/>
  <c r="B134" i="163"/>
  <c r="B115" i="163"/>
  <c r="B96" i="163"/>
  <c r="B77" i="163"/>
  <c r="B58" i="163"/>
  <c r="B39" i="163"/>
  <c r="B20" i="163"/>
  <c r="B10" i="163"/>
  <c r="B181" i="162"/>
  <c r="B167" i="162"/>
  <c r="B153" i="162"/>
  <c r="B139" i="162"/>
  <c r="B125" i="162"/>
  <c r="B111" i="162"/>
  <c r="B97" i="162"/>
  <c r="B83" i="162"/>
  <c r="B69" i="162"/>
  <c r="B55" i="162"/>
  <c r="B41" i="162"/>
  <c r="B27" i="162"/>
  <c r="B13" i="162"/>
  <c r="B23" i="161"/>
  <c r="B21" i="161"/>
  <c r="B19" i="161"/>
  <c r="B17" i="161"/>
  <c r="B15" i="161"/>
  <c r="B13" i="161"/>
  <c r="B11" i="161"/>
  <c r="B9" i="161"/>
  <c r="B7" i="161"/>
  <c r="B5" i="161"/>
  <c r="C26" i="161"/>
  <c r="C25" i="161"/>
  <c r="B18" i="154" l="1"/>
  <c r="B13" i="11" l="1"/>
</calcChain>
</file>

<file path=xl/sharedStrings.xml><?xml version="1.0" encoding="utf-8"?>
<sst xmlns="http://schemas.openxmlformats.org/spreadsheetml/2006/main" count="298" uniqueCount="72">
  <si>
    <t>Module :</t>
  </si>
  <si>
    <t>P_GesProj2</t>
  </si>
  <si>
    <t>Prénom - nom :</t>
  </si>
  <si>
    <t>Classe :</t>
  </si>
  <si>
    <t>CID2A</t>
  </si>
  <si>
    <t>Lieu :</t>
  </si>
  <si>
    <t>ETML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</si>
  <si>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</si>
  <si>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</si>
  <si>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</si>
  <si>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</si>
  <si>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</si>
  <si>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</si>
  <si>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</si>
  <si>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</si>
  <si>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</si>
  <si>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Lecture du CDC</t>
  </si>
  <si>
    <t>Répartition des tâches</t>
  </si>
  <si>
    <t>Collecte de données</t>
  </si>
  <si>
    <t>Documentation</t>
  </si>
  <si>
    <t>Modélisation de la base de données (MCD, MLD, MPD)</t>
  </si>
  <si>
    <t>Importation des données</t>
  </si>
  <si>
    <t>Requêtes SQL</t>
  </si>
  <si>
    <t>Création du site web</t>
  </si>
  <si>
    <t>Planification du projet</t>
  </si>
  <si>
    <t>Journal de travail</t>
  </si>
  <si>
    <t>MySql</t>
  </si>
  <si>
    <t>Tâches - objectifs</t>
  </si>
  <si>
    <t>Nb 1/4 heure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</si>
  <si>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</si>
  <si>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</si>
  <si>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</si>
  <si>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</si>
  <si>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</si>
  <si>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</si>
  <si>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</si>
  <si>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</si>
  <si>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</si>
  <si>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</si>
  <si>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</si>
  <si>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</si>
  <si>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</si>
  <si>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</si>
  <si>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</si>
  <si>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</si>
  <si>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</si>
  <si>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</si>
  <si>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</si>
  <si>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</si>
  <si>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</si>
  <si>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Lecture du CDC + réfléchir à des idées</t>
  </si>
  <si>
    <t>Répartition des tâches dans le groupe</t>
  </si>
  <si>
    <t>Collecte de données sur les différents téléphones</t>
  </si>
  <si>
    <t>Création et remplissage du journal de travail</t>
  </si>
  <si>
    <t>Max. 12</t>
  </si>
  <si>
    <t>STOP</t>
  </si>
  <si>
    <t>Début:</t>
  </si>
  <si>
    <t>Lecture du CDC + analyse des tâches</t>
  </si>
  <si>
    <t>Répartition des tâches au sein du groupe, et réfléxion sur comment les effectuer</t>
  </si>
  <si>
    <t xml:space="preserve">Collecte des données sur différent type de téléphone --&gt; Objectif terminé ! </t>
  </si>
  <si>
    <t>Site utilisé</t>
  </si>
  <si>
    <t>Création + remplissage du journal de travail pour la semaine 1</t>
  </si>
  <si>
    <t>Analyse organisation du site web</t>
  </si>
  <si>
    <t>Analyse de la modélisation de la base de données en groupe (Création du MCD sur DBMain, définition des rélations, types de données) [MCD, MLD, MPD Terminé]</t>
  </si>
  <si>
    <t>Réalisation du côté front du site web (Création de l'arborescence du répertoire, html+css des deux pages) [En progrès]</t>
  </si>
  <si>
    <t>Rédaction journal de travail semainne 3</t>
  </si>
  <si>
    <t>Création des réquêtes SQL gestion liste de clients avec les smartphones qui leur ont été vendus (INNER JOIN, ORDER BY, COUNT)[Terminé]</t>
  </si>
  <si>
    <t>Absent</t>
  </si>
  <si>
    <t>Debut du responsive design (1920 à 1080)</t>
  </si>
  <si>
    <t>Responsive design (1080 à 300)</t>
  </si>
  <si>
    <t>remplissage du journal de travail</t>
  </si>
  <si>
    <t>Samuel Horler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</si>
</sst>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Planification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6321" name="btnImportRealisation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7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gsmarena.com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4" sqref="C4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1</v>
      </c>
      <c r="D3" s="60"/>
      <c r="E3" s="60"/>
      <c r="F3" s="60"/>
      <c r="G3" s="61"/>
    </row>
    <row r="4" spans="1:7" ht="20.25" x14ac:dyDescent="0.25">
      <c r="A4" s="59"/>
      <c r="B4" s="64" t="s">
        <v>2</v>
      </c>
      <c r="C4" s="65" t="s">
        <v>71</v>
      </c>
      <c r="D4" s="60"/>
      <c r="E4" s="60"/>
      <c r="F4" s="60"/>
      <c r="G4" s="61"/>
    </row>
    <row r="5" spans="1:7" ht="20.25" x14ac:dyDescent="0.25">
      <c r="A5" s="59"/>
      <c r="B5" s="64" t="s">
        <v>3</v>
      </c>
      <c r="C5" s="65" t="s">
        <v>4</v>
      </c>
      <c r="D5" s="60"/>
      <c r="E5" s="60"/>
      <c r="F5" s="60"/>
      <c r="G5" s="61"/>
    </row>
    <row r="6" spans="1:7" ht="21" thickBot="1" x14ac:dyDescent="0.3">
      <c r="A6" s="59"/>
      <c r="B6" s="66" t="s">
        <v>5</v>
      </c>
      <c r="C6" s="67" t="s">
        <v>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7</v>
      </c>
      <c r="C9" s="68">
        <v>44435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44547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13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12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13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14</v>
      </c>
      <c r="C20" s="81" t="s">
        <v>15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16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17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18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19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22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24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25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26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C26"/>
  <sheetViews>
    <sheetView zoomScale="70" zoomScaleNormal="70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59" ht="14.25" thickBot="1" x14ac:dyDescent="0.3">
      <c r="B1" s="91"/>
      <c r="C1" s="91"/>
    </row>
    <row r="2" spans="1:159" ht="42.75" customHeight="1" thickBot="1" x14ac:dyDescent="0.3">
      <c r="A2" s="92"/>
      <c r="B2" s="23" t="s">
        <v>27</v>
      </c>
      <c r="C2" s="15" t="s">
        <v>28</v>
      </c>
      <c r="D2" s="120" t="s">
        <v>29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2"/>
      <c r="P2" s="120" t="s">
        <v>30</v>
      </c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2"/>
      <c r="AB2" s="120" t="s">
        <v>31</v>
      </c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2"/>
      <c r="AN2" s="120" t="s">
        <v>32</v>
      </c>
      <c r="AO2" s="121"/>
      <c r="AP2" s="121"/>
      <c r="AQ2" s="121"/>
      <c r="AR2" s="121"/>
      <c r="AS2" s="121"/>
      <c r="AT2" s="121"/>
      <c r="AU2" s="121"/>
      <c r="AV2" s="121"/>
      <c r="AW2" s="121"/>
      <c r="AX2" s="121"/>
      <c r="AY2" s="122"/>
      <c r="AZ2" s="120" t="s">
        <v>33</v>
      </c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2"/>
      <c r="BL2" s="120" t="s">
        <v>34</v>
      </c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2"/>
      <c r="BX2" s="120" t="s">
        <v>35</v>
      </c>
      <c r="BY2" s="121"/>
      <c r="BZ2" s="121"/>
      <c r="CA2" s="121"/>
      <c r="CB2" s="121"/>
      <c r="CC2" s="121"/>
      <c r="CD2" s="121"/>
      <c r="CE2" s="121"/>
      <c r="CF2" s="121"/>
      <c r="CG2" s="121"/>
      <c r="CH2" s="121"/>
      <c r="CI2" s="122"/>
      <c r="CJ2" s="120" t="s">
        <v>36</v>
      </c>
      <c r="CK2" s="121"/>
      <c r="CL2" s="121"/>
      <c r="CM2" s="121"/>
      <c r="CN2" s="121"/>
      <c r="CO2" s="121"/>
      <c r="CP2" s="121"/>
      <c r="CQ2" s="121"/>
      <c r="CR2" s="121"/>
      <c r="CS2" s="121"/>
      <c r="CT2" s="121"/>
      <c r="CU2" s="122"/>
      <c r="CV2" s="120" t="s">
        <v>37</v>
      </c>
      <c r="CW2" s="121"/>
      <c r="CX2" s="121"/>
      <c r="CY2" s="121"/>
      <c r="CZ2" s="121"/>
      <c r="DA2" s="121"/>
      <c r="DB2" s="121"/>
      <c r="DC2" s="121"/>
      <c r="DD2" s="121"/>
      <c r="DE2" s="121"/>
      <c r="DF2" s="121"/>
      <c r="DG2" s="122"/>
      <c r="DH2" s="120" t="s">
        <v>38</v>
      </c>
      <c r="DI2" s="121"/>
      <c r="DJ2" s="121"/>
      <c r="DK2" s="121"/>
      <c r="DL2" s="121"/>
      <c r="DM2" s="121"/>
      <c r="DN2" s="121"/>
      <c r="DO2" s="121"/>
      <c r="DP2" s="121"/>
      <c r="DQ2" s="121"/>
      <c r="DR2" s="121"/>
      <c r="DS2" s="122"/>
      <c r="DT2" s="120" t="s">
        <v>39</v>
      </c>
      <c r="DU2" s="121"/>
      <c r="DV2" s="121"/>
      <c r="DW2" s="121"/>
      <c r="DX2" s="121"/>
      <c r="DY2" s="121"/>
      <c r="DZ2" s="121"/>
      <c r="EA2" s="121"/>
      <c r="EB2" s="121"/>
      <c r="EC2" s="121"/>
      <c r="ED2" s="121"/>
      <c r="EE2" s="122"/>
      <c r="EF2" s="120" t="s">
        <v>40</v>
      </c>
      <c r="EG2" s="121"/>
      <c r="EH2" s="121"/>
      <c r="EI2" s="121"/>
      <c r="EJ2" s="121"/>
      <c r="EK2" s="121"/>
      <c r="EL2" s="121"/>
      <c r="EM2" s="121"/>
      <c r="EN2" s="121"/>
      <c r="EO2" s="121"/>
      <c r="EP2" s="121"/>
      <c r="EQ2" s="122"/>
      <c r="ER2" s="120" t="s">
        <v>41</v>
      </c>
      <c r="ES2" s="121"/>
      <c r="ET2" s="121"/>
      <c r="EU2" s="121"/>
      <c r="EV2" s="121"/>
      <c r="EW2" s="121"/>
      <c r="EX2" s="121"/>
      <c r="EY2" s="121"/>
      <c r="EZ2" s="121"/>
      <c r="FA2" s="121"/>
      <c r="FB2" s="121"/>
      <c r="FC2" s="122"/>
    </row>
    <row r="3" spans="1:159" ht="19.5" customHeight="1" x14ac:dyDescent="0.25">
      <c r="A3" s="92"/>
      <c r="B3" s="123" t="s">
        <v>15</v>
      </c>
      <c r="C3" s="16">
        <v>0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</row>
    <row r="4" spans="1:159" ht="19.5" customHeight="1" thickBot="1" x14ac:dyDescent="0.3">
      <c r="A4" s="92"/>
      <c r="B4" s="124"/>
      <c r="C4" s="22">
        <v>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98"/>
      <c r="BY4" s="99"/>
      <c r="BZ4" s="100"/>
      <c r="CA4" s="101"/>
      <c r="CB4" s="99"/>
      <c r="CC4" s="100"/>
      <c r="CD4" s="101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</row>
    <row r="5" spans="1:159" ht="19.5" customHeight="1" x14ac:dyDescent="0.25">
      <c r="B5" s="125" t="str">
        <f>Donnees!$C$21</f>
        <v>Lecture du CDC</v>
      </c>
      <c r="C5" s="103">
        <v>0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</row>
    <row r="6" spans="1:159" ht="19.5" customHeight="1" thickBot="1" x14ac:dyDescent="0.3">
      <c r="B6" s="119"/>
      <c r="C6" s="104">
        <v>0</v>
      </c>
      <c r="D6" s="98"/>
      <c r="E6" s="99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98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02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02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2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02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02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02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</row>
    <row r="7" spans="1:159" ht="19.5" customHeight="1" x14ac:dyDescent="0.25">
      <c r="B7" s="118" t="str">
        <f>Donnees!$C$22</f>
        <v>Répartition des tâches</v>
      </c>
      <c r="C7" s="103">
        <v>0</v>
      </c>
      <c r="D7" s="93"/>
      <c r="E7" s="94"/>
      <c r="F7" s="95"/>
      <c r="G7" s="96"/>
      <c r="H7" s="94"/>
      <c r="I7" s="95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96"/>
      <c r="W7" s="94"/>
      <c r="X7" s="95"/>
      <c r="Y7" s="96"/>
      <c r="Z7" s="94"/>
      <c r="AA7" s="97"/>
      <c r="AB7" s="93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</row>
    <row r="8" spans="1:159" ht="19.5" customHeight="1" thickBot="1" x14ac:dyDescent="0.3">
      <c r="B8" s="119"/>
      <c r="C8" s="104">
        <v>0</v>
      </c>
      <c r="D8" s="98"/>
      <c r="E8" s="99"/>
      <c r="F8" s="100"/>
      <c r="G8" s="101"/>
      <c r="H8" s="99"/>
      <c r="I8" s="100"/>
      <c r="J8" s="101"/>
      <c r="K8" s="99"/>
      <c r="L8" s="100"/>
      <c r="M8" s="101"/>
      <c r="N8" s="99"/>
      <c r="O8" s="102"/>
      <c r="P8" s="98"/>
      <c r="Q8" s="99"/>
      <c r="R8" s="100"/>
      <c r="S8" s="101"/>
      <c r="T8" s="99"/>
      <c r="U8" s="100"/>
      <c r="V8" s="101"/>
      <c r="W8" s="99"/>
      <c r="X8" s="100"/>
      <c r="Y8" s="101"/>
      <c r="Z8" s="99"/>
      <c r="AA8" s="102"/>
      <c r="AB8" s="98"/>
      <c r="AC8" s="99"/>
      <c r="AD8" s="100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0"/>
      <c r="AW8" s="101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00"/>
      <c r="DE8" s="101"/>
      <c r="DF8" s="99"/>
      <c r="DG8" s="102"/>
      <c r="DH8" s="98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</row>
    <row r="9" spans="1:159" ht="19.5" customHeight="1" x14ac:dyDescent="0.25">
      <c r="B9" s="118" t="str">
        <f>Donnees!$C$23</f>
        <v>Collecte de données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</row>
    <row r="10" spans="1:159" ht="19.5" customHeight="1" thickBot="1" x14ac:dyDescent="0.3">
      <c r="B10" s="119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</row>
    <row r="11" spans="1:159" ht="19.5" customHeight="1" x14ac:dyDescent="0.25">
      <c r="B11" s="118" t="str">
        <f>Donnees!$C$24</f>
        <v>Documentation</v>
      </c>
      <c r="C11" s="103">
        <v>0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</row>
    <row r="12" spans="1:159" ht="19.5" customHeight="1" thickBot="1" x14ac:dyDescent="0.3">
      <c r="B12" s="119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00"/>
      <c r="Y12" s="101"/>
      <c r="Z12" s="99"/>
      <c r="AA12" s="102"/>
      <c r="AB12" s="98"/>
      <c r="AC12" s="99"/>
      <c r="AD12" s="100"/>
      <c r="AE12" s="101"/>
      <c r="AF12" s="99"/>
      <c r="AG12" s="100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</row>
    <row r="13" spans="1:159" ht="19.5" customHeight="1" x14ac:dyDescent="0.25">
      <c r="B13" s="118" t="str">
        <f>Donnees!$C$25</f>
        <v>Modélisation de la base de données (MCD, MLD, MPD)</v>
      </c>
      <c r="C13" s="103">
        <v>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</row>
    <row r="14" spans="1:159" ht="19.5" customHeight="1" thickBot="1" x14ac:dyDescent="0.3">
      <c r="B14" s="119"/>
      <c r="C14" s="104">
        <v>0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</row>
    <row r="15" spans="1:159" ht="19.5" customHeight="1" x14ac:dyDescent="0.25">
      <c r="B15" s="118" t="str">
        <f>Donnees!$C$26</f>
        <v>Importation des données</v>
      </c>
      <c r="C15" s="103">
        <v>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</row>
    <row r="16" spans="1:159" ht="19.5" customHeight="1" thickBot="1" x14ac:dyDescent="0.3">
      <c r="A16" s="105"/>
      <c r="B16" s="119"/>
      <c r="C16" s="104">
        <v>0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99"/>
      <c r="AJ16" s="100"/>
      <c r="AK16" s="101"/>
      <c r="AL16" s="99"/>
      <c r="AM16" s="102"/>
      <c r="AN16" s="98"/>
      <c r="AO16" s="99"/>
      <c r="AP16" s="100"/>
      <c r="AQ16" s="101"/>
      <c r="AR16" s="99"/>
      <c r="AS16" s="100"/>
      <c r="AT16" s="101"/>
      <c r="AU16" s="99"/>
      <c r="AV16" s="100"/>
      <c r="AW16" s="101"/>
      <c r="AX16" s="99"/>
      <c r="AY16" s="102"/>
      <c r="AZ16" s="98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</row>
    <row r="17" spans="2:159" ht="19.5" customHeight="1" x14ac:dyDescent="0.25">
      <c r="B17" s="118" t="str">
        <f>Donnees!$C$27</f>
        <v>Requêtes SQL</v>
      </c>
      <c r="C17" s="103">
        <v>0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7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</row>
    <row r="18" spans="2:159" ht="19.5" customHeight="1" thickBot="1" x14ac:dyDescent="0.3">
      <c r="B18" s="119"/>
      <c r="C18" s="104">
        <v>0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2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01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98"/>
      <c r="CW18" s="99"/>
      <c r="CX18" s="100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</row>
    <row r="19" spans="2:159" ht="19.5" customHeight="1" x14ac:dyDescent="0.25">
      <c r="B19" s="118" t="str">
        <f>Donnees!$C$28</f>
        <v>Création du site web</v>
      </c>
      <c r="C19" s="103">
        <v>0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93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</row>
    <row r="20" spans="2:159" ht="19.5" customHeight="1" thickBot="1" x14ac:dyDescent="0.3">
      <c r="B20" s="119"/>
      <c r="C20" s="104">
        <v>0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98"/>
      <c r="CW20" s="99"/>
      <c r="CX20" s="100"/>
      <c r="CY20" s="101"/>
      <c r="CZ20" s="99"/>
      <c r="DA20" s="100"/>
      <c r="DB20" s="101"/>
      <c r="DC20" s="99"/>
      <c r="DD20" s="100"/>
      <c r="DE20" s="101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</row>
    <row r="21" spans="2:159" ht="19.5" customHeight="1" x14ac:dyDescent="0.25">
      <c r="B21" s="118" t="str">
        <f>Donnees!$C$29</f>
        <v>Planification du projet</v>
      </c>
      <c r="C21" s="103">
        <v>0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93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</row>
    <row r="22" spans="2:159" ht="19.5" customHeight="1" thickBot="1" x14ac:dyDescent="0.3">
      <c r="B22" s="119"/>
      <c r="C22" s="104">
        <v>0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01"/>
      <c r="BG22" s="99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98"/>
      <c r="BY22" s="99"/>
      <c r="BZ22" s="100"/>
      <c r="CA22" s="101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98"/>
      <c r="DI22" s="99"/>
      <c r="DJ22" s="100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</row>
    <row r="23" spans="2:159" ht="19.5" customHeight="1" x14ac:dyDescent="0.25">
      <c r="B23" s="118" t="str">
        <f>Donnees!$C$30</f>
        <v>Journal de travail</v>
      </c>
      <c r="C23" s="103">
        <v>0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7"/>
      <c r="AZ23" s="93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7"/>
      <c r="BL23" s="93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95"/>
      <c r="CS23" s="96"/>
      <c r="CT23" s="94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</row>
    <row r="24" spans="2:159" ht="19.5" customHeight="1" x14ac:dyDescent="0.25">
      <c r="B24" s="119"/>
      <c r="C24" s="104">
        <v>0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99"/>
      <c r="AY24" s="102"/>
      <c r="AZ24" s="98"/>
      <c r="BA24" s="99"/>
      <c r="BB24" s="100"/>
      <c r="BC24" s="101"/>
      <c r="BD24" s="99"/>
      <c r="BE24" s="100"/>
      <c r="BF24" s="101"/>
      <c r="BG24" s="99"/>
      <c r="BH24" s="100"/>
      <c r="BI24" s="101"/>
      <c r="BJ24" s="99"/>
      <c r="BK24" s="102"/>
      <c r="BL24" s="98"/>
      <c r="BM24" s="99"/>
      <c r="BN24" s="100"/>
      <c r="BO24" s="101"/>
      <c r="BP24" s="99"/>
      <c r="BQ24" s="100"/>
      <c r="BR24" s="101"/>
      <c r="BS24" s="99"/>
      <c r="BT24" s="100"/>
      <c r="BU24" s="101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00"/>
      <c r="CS24" s="101"/>
      <c r="CT24" s="99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</row>
    <row r="25" spans="2:159" ht="19.5" customHeight="1" x14ac:dyDescent="0.25">
      <c r="B25" s="25" t="s">
        <v>42</v>
      </c>
      <c r="C25" s="27">
        <f>SUM($C$3,$C$5,$C$7,$C$9,$C$11,$C$13,$C$15,$C$17,$C$19,$C$21,$C$23)</f>
        <v>0</v>
      </c>
      <c r="D25" s="106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8"/>
      <c r="P25" s="106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8"/>
      <c r="AB25" s="106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8"/>
      <c r="AN25" s="106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8"/>
      <c r="AZ25" s="106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8"/>
      <c r="BL25" s="106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8"/>
      <c r="BX25" s="106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8"/>
      <c r="CJ25" s="106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8"/>
      <c r="CV25" s="106"/>
      <c r="CW25" s="107"/>
      <c r="CX25" s="107"/>
      <c r="CY25" s="107"/>
      <c r="CZ25" s="107"/>
      <c r="DA25" s="107"/>
      <c r="DB25" s="107"/>
      <c r="DC25" s="107"/>
      <c r="DD25" s="107"/>
      <c r="DE25" s="107"/>
      <c r="DF25" s="107"/>
      <c r="DG25" s="108"/>
      <c r="DH25" s="106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8"/>
      <c r="DT25" s="106"/>
      <c r="DU25" s="107"/>
      <c r="DV25" s="107"/>
      <c r="DW25" s="107"/>
      <c r="DX25" s="107"/>
      <c r="DY25" s="107"/>
      <c r="DZ25" s="107"/>
      <c r="EA25" s="107"/>
      <c r="EB25" s="107"/>
      <c r="EC25" s="107"/>
      <c r="ED25" s="107"/>
      <c r="EE25" s="108"/>
      <c r="EF25" s="106"/>
      <c r="EG25" s="107"/>
      <c r="EH25" s="107"/>
      <c r="EI25" s="107"/>
      <c r="EJ25" s="107"/>
      <c r="EK25" s="107"/>
      <c r="EL25" s="107"/>
      <c r="EM25" s="107"/>
      <c r="EN25" s="107"/>
      <c r="EO25" s="107"/>
      <c r="EP25" s="107"/>
      <c r="EQ25" s="108"/>
      <c r="ER25" s="106"/>
      <c r="ES25" s="107"/>
      <c r="ET25" s="107"/>
      <c r="EU25" s="107"/>
      <c r="EV25" s="107"/>
      <c r="EW25" s="107"/>
      <c r="EX25" s="107"/>
      <c r="EY25" s="107"/>
      <c r="EZ25" s="107"/>
      <c r="FA25" s="107"/>
      <c r="FB25" s="107"/>
      <c r="FC25" s="108"/>
    </row>
    <row r="26" spans="2:159" ht="19.5" customHeight="1" thickBot="1" x14ac:dyDescent="0.3">
      <c r="B26" s="26" t="s">
        <v>43</v>
      </c>
      <c r="C26" s="28">
        <f>SUM($C$4,$C$6,$C$8,$C$10,$C$12,$C$14,$C$16,$C$18,$C$20,$C$22,$C$24)</f>
        <v>0</v>
      </c>
      <c r="D26" s="109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1"/>
      <c r="P26" s="109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1"/>
      <c r="AB26" s="109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1"/>
      <c r="AN26" s="109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1"/>
      <c r="AZ26" s="109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1"/>
      <c r="BL26" s="109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1"/>
      <c r="BX26" s="109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1"/>
      <c r="CJ26" s="109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1"/>
      <c r="CV26" s="109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1"/>
      <c r="DH26" s="109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1"/>
      <c r="DT26" s="109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1"/>
      <c r="EF26" s="109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1"/>
      <c r="ER26" s="109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1"/>
    </row>
  </sheetData>
  <sheetProtection sheet="1" objects="1" scenarios="1" insertRows="0" selectLockedCells="1"/>
  <mergeCells count="24">
    <mergeCell ref="ER2:FC2"/>
    <mergeCell ref="P2:AA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  <mergeCell ref="B15:B16"/>
    <mergeCell ref="B17:B18"/>
    <mergeCell ref="B19:B20"/>
    <mergeCell ref="B21:B22"/>
    <mergeCell ref="B23:B24"/>
    <mergeCell ref="B11:B12"/>
    <mergeCell ref="B13:B14"/>
    <mergeCell ref="D2:O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27</v>
      </c>
      <c r="C2" s="15" t="s">
        <v>28</v>
      </c>
    </row>
    <row r="3" spans="1:4" ht="19.5" customHeight="1" x14ac:dyDescent="0.25">
      <c r="A3" s="19"/>
      <c r="B3" s="123" t="s">
        <v>15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42</v>
      </c>
      <c r="C3" s="27">
        <v>0</v>
      </c>
    </row>
    <row r="4" spans="2:3" ht="18.75" thickBot="1" x14ac:dyDescent="0.3">
      <c r="B4" s="26" t="s">
        <v>43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44</v>
      </c>
      <c r="B1" s="7">
        <v>1</v>
      </c>
      <c r="C1" s="17"/>
      <c r="D1" s="87"/>
    </row>
    <row r="2" spans="1:4" ht="27.75" thickBot="1" x14ac:dyDescent="0.3">
      <c r="A2" s="8" t="s">
        <v>45</v>
      </c>
      <c r="B2" s="18" t="s">
        <v>46</v>
      </c>
      <c r="C2" s="8" t="s">
        <v>47</v>
      </c>
      <c r="D2" s="8" t="s">
        <v>48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49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83"/>
  <sheetViews>
    <sheetView workbookViewId="0">
      <selection activeCell="C20" sqref="C2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44</v>
      </c>
      <c r="B1" s="7">
        <v>1</v>
      </c>
      <c r="C1" s="17"/>
      <c r="D1" s="87"/>
    </row>
    <row r="2" spans="1:4" ht="27.75" thickBot="1" x14ac:dyDescent="0.3">
      <c r="A2" s="8" t="s">
        <v>45</v>
      </c>
      <c r="B2" s="18" t="s">
        <v>46</v>
      </c>
      <c r="C2" s="8" t="s">
        <v>47</v>
      </c>
      <c r="D2" s="8" t="s">
        <v>48</v>
      </c>
    </row>
    <row r="3" spans="1:4" s="53" customFormat="1" x14ac:dyDescent="0.25">
      <c r="A3" s="5" t="s">
        <v>16</v>
      </c>
      <c r="B3" s="4">
        <v>3</v>
      </c>
      <c r="C3" s="113" t="s">
        <v>50</v>
      </c>
      <c r="D3" s="9"/>
    </row>
    <row r="4" spans="1:4" s="53" customFormat="1" ht="27" x14ac:dyDescent="0.25">
      <c r="A4" s="1" t="s">
        <v>17</v>
      </c>
      <c r="B4" s="2">
        <v>3</v>
      </c>
      <c r="C4" s="114" t="s">
        <v>51</v>
      </c>
      <c r="D4" s="10"/>
    </row>
    <row r="5" spans="1:4" s="53" customFormat="1" x14ac:dyDescent="0.25">
      <c r="A5" s="1" t="s">
        <v>18</v>
      </c>
      <c r="B5" s="2">
        <v>5</v>
      </c>
      <c r="C5" s="114" t="s">
        <v>52</v>
      </c>
      <c r="D5" s="10"/>
    </row>
    <row r="6" spans="1:4" s="53" customFormat="1" x14ac:dyDescent="0.25">
      <c r="A6" s="1" t="s">
        <v>25</v>
      </c>
      <c r="B6" s="2">
        <v>1</v>
      </c>
      <c r="C6" s="114" t="s">
        <v>53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49</v>
      </c>
      <c r="B13" s="12">
        <f>SUM(B3:B12)</f>
        <v>12</v>
      </c>
      <c r="C13" s="88" t="s">
        <v>54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44</v>
      </c>
      <c r="B15" s="7">
        <v>2</v>
      </c>
      <c r="C15" s="17"/>
      <c r="D15" s="87"/>
    </row>
    <row r="16" spans="1:4" ht="27.75" thickBot="1" x14ac:dyDescent="0.3">
      <c r="A16" s="8" t="s">
        <v>45</v>
      </c>
      <c r="B16" s="18" t="s">
        <v>46</v>
      </c>
      <c r="C16" s="8" t="s">
        <v>47</v>
      </c>
      <c r="D16" s="8" t="s">
        <v>48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49</v>
      </c>
      <c r="B27" s="12">
        <f>SUM(B17:B26)</f>
        <v>0</v>
      </c>
      <c r="C27" s="88" t="s">
        <v>54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44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45</v>
      </c>
      <c r="B30" s="18" t="s">
        <v>46</v>
      </c>
      <c r="C30" s="8" t="s">
        <v>47</v>
      </c>
      <c r="D30" s="8" t="s">
        <v>48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49</v>
      </c>
      <c r="B41" s="12">
        <f>SUM(B31:B40)</f>
        <v>0</v>
      </c>
      <c r="C41" s="88" t="s">
        <v>54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44</v>
      </c>
      <c r="B43" s="7">
        <v>4</v>
      </c>
      <c r="C43" s="17"/>
      <c r="D43" s="87"/>
    </row>
    <row r="44" spans="1:9" ht="27.75" thickBot="1" x14ac:dyDescent="0.3">
      <c r="A44" s="8" t="s">
        <v>45</v>
      </c>
      <c r="B44" s="18" t="s">
        <v>46</v>
      </c>
      <c r="C44" s="8" t="s">
        <v>47</v>
      </c>
      <c r="D44" s="8" t="s">
        <v>48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49</v>
      </c>
      <c r="B55" s="12">
        <f>SUM(B45:B54)</f>
        <v>0</v>
      </c>
      <c r="C55" s="88" t="s">
        <v>54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44</v>
      </c>
      <c r="B57" s="7">
        <v>5</v>
      </c>
      <c r="C57" s="17"/>
      <c r="D57" s="87"/>
    </row>
    <row r="58" spans="1:4" ht="27.75" thickBot="1" x14ac:dyDescent="0.3">
      <c r="A58" s="8" t="s">
        <v>45</v>
      </c>
      <c r="B58" s="18" t="s">
        <v>46</v>
      </c>
      <c r="C58" s="8" t="s">
        <v>47</v>
      </c>
      <c r="D58" s="8" t="s">
        <v>48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49</v>
      </c>
      <c r="B69" s="12">
        <f>SUM(B59:B68)</f>
        <v>0</v>
      </c>
      <c r="C69" s="88" t="s">
        <v>54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44</v>
      </c>
      <c r="B71" s="7">
        <v>6</v>
      </c>
      <c r="C71" s="17"/>
      <c r="D71" s="87"/>
    </row>
    <row r="72" spans="1:4" ht="27.75" thickBot="1" x14ac:dyDescent="0.3">
      <c r="A72" s="8" t="s">
        <v>45</v>
      </c>
      <c r="B72" s="18" t="s">
        <v>46</v>
      </c>
      <c r="C72" s="8" t="s">
        <v>47</v>
      </c>
      <c r="D72" s="8" t="s">
        <v>48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49</v>
      </c>
      <c r="B83" s="12">
        <f>SUM(B73:B82)</f>
        <v>0</v>
      </c>
      <c r="C83" s="88" t="s">
        <v>54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44</v>
      </c>
      <c r="B85" s="7">
        <v>7</v>
      </c>
      <c r="C85" s="17"/>
      <c r="D85" s="87"/>
    </row>
    <row r="86" spans="1:4" ht="27.75" thickBot="1" x14ac:dyDescent="0.3">
      <c r="A86" s="8" t="s">
        <v>45</v>
      </c>
      <c r="B86" s="18" t="s">
        <v>46</v>
      </c>
      <c r="C86" s="8" t="s">
        <v>47</v>
      </c>
      <c r="D86" s="8" t="s">
        <v>48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49</v>
      </c>
      <c r="B97" s="12">
        <f>SUM(B87:B96)</f>
        <v>0</v>
      </c>
      <c r="C97" s="88" t="s">
        <v>54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44</v>
      </c>
      <c r="B99" s="7">
        <v>8</v>
      </c>
      <c r="C99" s="17"/>
      <c r="D99" s="87"/>
    </row>
    <row r="100" spans="1:4" ht="27.75" thickBot="1" x14ac:dyDescent="0.3">
      <c r="A100" s="8" t="s">
        <v>45</v>
      </c>
      <c r="B100" s="18" t="s">
        <v>46</v>
      </c>
      <c r="C100" s="8" t="s">
        <v>47</v>
      </c>
      <c r="D100" s="8" t="s">
        <v>48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49</v>
      </c>
      <c r="B111" s="12">
        <f>SUM(B101:B110)</f>
        <v>0</v>
      </c>
      <c r="C111" s="88" t="s">
        <v>54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44</v>
      </c>
      <c r="B113" s="7">
        <v>9</v>
      </c>
      <c r="C113" s="17"/>
      <c r="D113" s="87"/>
    </row>
    <row r="114" spans="1:4" ht="27.75" thickBot="1" x14ac:dyDescent="0.3">
      <c r="A114" s="8" t="s">
        <v>45</v>
      </c>
      <c r="B114" s="18" t="s">
        <v>46</v>
      </c>
      <c r="C114" s="8" t="s">
        <v>47</v>
      </c>
      <c r="D114" s="8" t="s">
        <v>48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49</v>
      </c>
      <c r="B125" s="12">
        <f>SUM(B115:B124)</f>
        <v>0</v>
      </c>
      <c r="C125" s="88" t="s">
        <v>54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44</v>
      </c>
      <c r="B127" s="7">
        <v>10</v>
      </c>
      <c r="C127" s="17"/>
      <c r="D127" s="87"/>
    </row>
    <row r="128" spans="1:4" ht="27.75" thickBot="1" x14ac:dyDescent="0.3">
      <c r="A128" s="8" t="s">
        <v>45</v>
      </c>
      <c r="B128" s="18" t="s">
        <v>46</v>
      </c>
      <c r="C128" s="8" t="s">
        <v>47</v>
      </c>
      <c r="D128" s="8" t="s">
        <v>48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49</v>
      </c>
      <c r="B139" s="12">
        <f>SUM(B129:B138)</f>
        <v>0</v>
      </c>
      <c r="C139" s="88" t="s">
        <v>54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44</v>
      </c>
      <c r="B141" s="7">
        <v>11</v>
      </c>
      <c r="C141" s="17"/>
      <c r="D141" s="87"/>
    </row>
    <row r="142" spans="1:4" ht="27.75" thickBot="1" x14ac:dyDescent="0.3">
      <c r="A142" s="8" t="s">
        <v>45</v>
      </c>
      <c r="B142" s="18" t="s">
        <v>46</v>
      </c>
      <c r="C142" s="8" t="s">
        <v>47</v>
      </c>
      <c r="D142" s="8" t="s">
        <v>48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49</v>
      </c>
      <c r="B153" s="12">
        <f>SUM(B143:B152)</f>
        <v>0</v>
      </c>
      <c r="C153" s="88" t="s">
        <v>54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44</v>
      </c>
      <c r="B155" s="7">
        <v>12</v>
      </c>
      <c r="C155" s="17"/>
      <c r="D155" s="87"/>
    </row>
    <row r="156" spans="1:4" ht="27.75" thickBot="1" x14ac:dyDescent="0.3">
      <c r="A156" s="8" t="s">
        <v>45</v>
      </c>
      <c r="B156" s="18" t="s">
        <v>46</v>
      </c>
      <c r="C156" s="8" t="s">
        <v>47</v>
      </c>
      <c r="D156" s="8" t="s">
        <v>48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49</v>
      </c>
      <c r="B167" s="12">
        <f>SUM(B157:B166)</f>
        <v>0</v>
      </c>
      <c r="C167" s="88" t="s">
        <v>54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44</v>
      </c>
      <c r="B169" s="7">
        <v>13</v>
      </c>
      <c r="C169" s="17"/>
      <c r="D169" s="87"/>
    </row>
    <row r="170" spans="1:4" ht="27.75" thickBot="1" x14ac:dyDescent="0.3">
      <c r="A170" s="8" t="s">
        <v>45</v>
      </c>
      <c r="B170" s="18" t="s">
        <v>46</v>
      </c>
      <c r="C170" s="8" t="s">
        <v>47</v>
      </c>
      <c r="D170" s="8" t="s">
        <v>48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49</v>
      </c>
      <c r="B181" s="12">
        <f>SUM(B171:B180)</f>
        <v>0</v>
      </c>
      <c r="C181" s="88" t="s">
        <v>54</v>
      </c>
      <c r="D181" s="13"/>
    </row>
    <row r="182" spans="1:4" ht="14.25" x14ac:dyDescent="0.3">
      <c r="A182" s="14"/>
      <c r="B182" s="14"/>
      <c r="C182" s="14"/>
      <c r="D182" s="14"/>
    </row>
    <row r="183" spans="1:4" x14ac:dyDescent="0.25">
      <c r="A183" s="89" t="s">
        <v>55</v>
      </c>
    </row>
  </sheetData>
  <sheetProtection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427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44</v>
      </c>
      <c r="B1" s="44">
        <v>1</v>
      </c>
      <c r="C1" s="45" t="s">
        <v>56</v>
      </c>
      <c r="D1" s="54"/>
    </row>
    <row r="2" spans="1:4" ht="27.75" thickBot="1" x14ac:dyDescent="0.3">
      <c r="A2" s="46" t="s">
        <v>45</v>
      </c>
      <c r="B2" s="47" t="s">
        <v>46</v>
      </c>
      <c r="C2" s="46" t="s">
        <v>47</v>
      </c>
      <c r="D2" s="46" t="s">
        <v>48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49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31"/>
  <sheetViews>
    <sheetView topLeftCell="A25" workbookViewId="0">
      <selection activeCell="C82" sqref="C8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44</v>
      </c>
      <c r="B1" s="44">
        <v>1</v>
      </c>
      <c r="C1" s="45" t="s">
        <v>56</v>
      </c>
      <c r="D1" s="54">
        <f>Donnees!$C$9</f>
        <v>44435</v>
      </c>
    </row>
    <row r="2" spans="1:9" ht="27.75" thickBot="1" x14ac:dyDescent="0.3">
      <c r="A2" s="46" t="s">
        <v>45</v>
      </c>
      <c r="B2" s="47" t="s">
        <v>46</v>
      </c>
      <c r="C2" s="46" t="s">
        <v>47</v>
      </c>
      <c r="D2" s="46" t="s">
        <v>48</v>
      </c>
    </row>
    <row r="3" spans="1:9" s="53" customFormat="1" x14ac:dyDescent="0.25">
      <c r="A3" s="5" t="s">
        <v>16</v>
      </c>
      <c r="B3" s="4">
        <v>3</v>
      </c>
      <c r="C3" s="113" t="s">
        <v>57</v>
      </c>
      <c r="D3" s="9"/>
    </row>
    <row r="4" spans="1:9" s="53" customFormat="1" ht="27" x14ac:dyDescent="0.25">
      <c r="A4" s="1" t="s">
        <v>17</v>
      </c>
      <c r="B4" s="2">
        <v>2</v>
      </c>
      <c r="C4" s="114" t="s">
        <v>58</v>
      </c>
      <c r="D4" s="10"/>
    </row>
    <row r="5" spans="1:9" s="53" customFormat="1" x14ac:dyDescent="0.25">
      <c r="A5" s="1" t="s">
        <v>18</v>
      </c>
      <c r="B5" s="2">
        <v>5</v>
      </c>
      <c r="C5" s="114" t="s">
        <v>59</v>
      </c>
      <c r="D5" s="115" t="s">
        <v>60</v>
      </c>
    </row>
    <row r="6" spans="1:9" s="53" customFormat="1" x14ac:dyDescent="0.25">
      <c r="A6" s="1" t="s">
        <v>25</v>
      </c>
      <c r="B6" s="2">
        <v>2</v>
      </c>
      <c r="C6" s="114" t="s">
        <v>61</v>
      </c>
      <c r="D6" s="10"/>
    </row>
    <row r="7" spans="1:9" s="53" customFormat="1" x14ac:dyDescent="0.25">
      <c r="A7" s="1"/>
      <c r="B7" s="2"/>
      <c r="C7" s="10"/>
      <c r="D7" s="10"/>
    </row>
    <row r="8" spans="1:9" s="53" customFormat="1" x14ac:dyDescent="0.25">
      <c r="A8" s="1"/>
      <c r="B8" s="2"/>
      <c r="C8" s="10"/>
      <c r="D8" s="10"/>
    </row>
    <row r="9" spans="1:9" s="53" customFormat="1" ht="14.25" thickBot="1" x14ac:dyDescent="0.3">
      <c r="A9" s="1"/>
      <c r="B9" s="2"/>
      <c r="C9" s="10"/>
      <c r="D9" s="10"/>
    </row>
    <row r="10" spans="1:9" ht="14.25" thickBot="1" x14ac:dyDescent="0.3">
      <c r="A10" s="48" t="s">
        <v>49</v>
      </c>
      <c r="B10" s="48">
        <f>SUM(B3:B9)</f>
        <v>12</v>
      </c>
      <c r="C10" s="112" t="s">
        <v>54</v>
      </c>
      <c r="D10" s="49"/>
    </row>
    <row r="11" spans="1:9" ht="15" thickBot="1" x14ac:dyDescent="0.35">
      <c r="A11" s="50"/>
      <c r="B11" s="50"/>
      <c r="C11" s="50"/>
      <c r="D11" s="50"/>
    </row>
    <row r="12" spans="1:9" ht="18.75" thickBot="1" x14ac:dyDescent="0.3">
      <c r="A12" s="43" t="s">
        <v>44</v>
      </c>
      <c r="B12" s="44">
        <v>2</v>
      </c>
      <c r="C12" s="45" t="s">
        <v>56</v>
      </c>
      <c r="D12" s="54">
        <f>$D$1+7</f>
        <v>44442</v>
      </c>
    </row>
    <row r="13" spans="1:9" ht="27.75" thickBot="1" x14ac:dyDescent="0.3">
      <c r="A13" s="46" t="s">
        <v>45</v>
      </c>
      <c r="B13" s="47" t="s">
        <v>46</v>
      </c>
      <c r="C13" s="46" t="s">
        <v>47</v>
      </c>
      <c r="D13" s="46" t="s">
        <v>48</v>
      </c>
    </row>
    <row r="14" spans="1:9" x14ac:dyDescent="0.25">
      <c r="A14" s="5" t="s">
        <v>23</v>
      </c>
      <c r="B14" s="4">
        <v>2</v>
      </c>
      <c r="C14" s="113" t="s">
        <v>62</v>
      </c>
      <c r="D14" s="9"/>
    </row>
    <row r="15" spans="1:9" ht="40.5" x14ac:dyDescent="0.25">
      <c r="A15" s="1" t="s">
        <v>20</v>
      </c>
      <c r="B15" s="2">
        <v>4</v>
      </c>
      <c r="C15" s="114" t="s">
        <v>63</v>
      </c>
      <c r="D15" s="10"/>
    </row>
    <row r="16" spans="1:9" ht="27" x14ac:dyDescent="0.25">
      <c r="A16" s="1" t="s">
        <v>23</v>
      </c>
      <c r="B16" s="2">
        <v>6</v>
      </c>
      <c r="C16" s="114" t="s">
        <v>64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1"/>
      <c r="B17" s="2"/>
      <c r="C17" s="10"/>
      <c r="D17" s="10"/>
      <c r="E17" s="20"/>
      <c r="F17" s="32"/>
      <c r="G17" s="33"/>
      <c r="H17" s="34"/>
      <c r="I17" s="20"/>
    </row>
    <row r="18" spans="1:9" ht="15" x14ac:dyDescent="0.25">
      <c r="A18" s="1"/>
      <c r="B18" s="2"/>
      <c r="C18" s="10"/>
      <c r="D18" s="10"/>
      <c r="E18" s="20"/>
      <c r="F18" s="35"/>
      <c r="G18" s="31"/>
      <c r="H18" s="31"/>
      <c r="I18" s="20"/>
    </row>
    <row r="19" spans="1:9" ht="14.25" thickBot="1" x14ac:dyDescent="0.3">
      <c r="A19" s="1"/>
      <c r="B19" s="2"/>
      <c r="C19" s="10"/>
      <c r="D19" s="10"/>
      <c r="E19" s="20"/>
      <c r="F19" s="37"/>
      <c r="G19" s="38"/>
      <c r="H19" s="38"/>
      <c r="I19" s="20"/>
    </row>
    <row r="20" spans="1:9" ht="14.25" thickBot="1" x14ac:dyDescent="0.3">
      <c r="A20" s="48" t="s">
        <v>49</v>
      </c>
      <c r="B20" s="48">
        <f>SUM(B14:B19)</f>
        <v>12</v>
      </c>
      <c r="C20" s="112" t="s">
        <v>54</v>
      </c>
      <c r="D20" s="49"/>
      <c r="E20" s="20"/>
      <c r="F20" s="37"/>
      <c r="G20" s="38"/>
      <c r="H20" s="38"/>
      <c r="I20" s="20"/>
    </row>
    <row r="21" spans="1:9" ht="15" thickBot="1" x14ac:dyDescent="0.35">
      <c r="A21" s="50"/>
      <c r="B21" s="50"/>
      <c r="C21" s="50"/>
      <c r="D21" s="50"/>
      <c r="E21" s="20"/>
      <c r="F21" s="37"/>
      <c r="G21" s="38"/>
      <c r="H21" s="38"/>
      <c r="I21" s="20"/>
    </row>
    <row r="22" spans="1:9" ht="18.75" thickBot="1" x14ac:dyDescent="0.3">
      <c r="A22" s="43" t="s">
        <v>44</v>
      </c>
      <c r="B22" s="44">
        <v>3</v>
      </c>
      <c r="C22" s="45" t="s">
        <v>56</v>
      </c>
      <c r="D22" s="54">
        <f>$D$12+7</f>
        <v>44449</v>
      </c>
      <c r="E22" s="20"/>
      <c r="F22" s="37"/>
      <c r="G22" s="38"/>
      <c r="H22" s="38"/>
      <c r="I22" s="20"/>
    </row>
    <row r="23" spans="1:9" ht="27.75" thickBot="1" x14ac:dyDescent="0.3">
      <c r="A23" s="46" t="s">
        <v>45</v>
      </c>
      <c r="B23" s="47" t="s">
        <v>46</v>
      </c>
      <c r="C23" s="46" t="s">
        <v>47</v>
      </c>
      <c r="D23" s="46" t="s">
        <v>48</v>
      </c>
      <c r="E23" s="20"/>
      <c r="F23" s="37"/>
      <c r="G23" s="38"/>
      <c r="H23" s="38"/>
      <c r="I23" s="20"/>
    </row>
    <row r="24" spans="1:9" x14ac:dyDescent="0.25">
      <c r="A24" s="5" t="s">
        <v>15</v>
      </c>
      <c r="B24" s="4">
        <v>12</v>
      </c>
      <c r="C24" s="113" t="s">
        <v>67</v>
      </c>
      <c r="D24" s="9"/>
      <c r="E24" s="20"/>
      <c r="F24" s="37"/>
      <c r="G24" s="38"/>
      <c r="H24" s="38"/>
      <c r="I24" s="20"/>
    </row>
    <row r="25" spans="1:9" x14ac:dyDescent="0.25">
      <c r="A25" s="1"/>
      <c r="B25" s="2"/>
      <c r="C25" s="114"/>
      <c r="D25" s="10"/>
      <c r="E25" s="20"/>
      <c r="F25" s="37"/>
      <c r="G25" s="38"/>
      <c r="H25" s="38"/>
      <c r="I25" s="20"/>
    </row>
    <row r="26" spans="1:9" x14ac:dyDescent="0.25">
      <c r="A26" s="1"/>
      <c r="B26" s="2"/>
      <c r="C26" s="114"/>
      <c r="D26" s="10"/>
      <c r="E26" s="20"/>
      <c r="F26" s="37"/>
      <c r="G26" s="38"/>
      <c r="H26" s="38"/>
      <c r="I26" s="20"/>
    </row>
    <row r="27" spans="1:9" x14ac:dyDescent="0.25">
      <c r="A27" s="1"/>
      <c r="B27" s="2"/>
      <c r="C27" s="114"/>
      <c r="D27" s="10"/>
      <c r="E27" s="20"/>
      <c r="F27" s="39"/>
      <c r="G27" s="40"/>
      <c r="H27" s="40"/>
      <c r="I27" s="20"/>
    </row>
    <row r="28" spans="1:9" ht="14.25" x14ac:dyDescent="0.3">
      <c r="A28" s="1"/>
      <c r="B28" s="2"/>
      <c r="C28" s="114"/>
      <c r="D28" s="10"/>
      <c r="E28" s="20"/>
      <c r="F28" s="41"/>
      <c r="G28" s="41"/>
      <c r="H28" s="41"/>
      <c r="I28" s="20"/>
    </row>
    <row r="29" spans="1:9" x14ac:dyDescent="0.25">
      <c r="A29" s="1"/>
      <c r="B29" s="2"/>
      <c r="C29" s="10"/>
      <c r="D29" s="10"/>
      <c r="E29" s="20"/>
      <c r="F29" s="20"/>
      <c r="G29" s="20"/>
      <c r="H29" s="20"/>
      <c r="I29" s="20"/>
    </row>
    <row r="30" spans="1:9" x14ac:dyDescent="0.25">
      <c r="A30" s="1"/>
      <c r="B30" s="2"/>
      <c r="C30" s="10"/>
      <c r="D30" s="10"/>
      <c r="E30" s="20"/>
      <c r="F30" s="20"/>
      <c r="G30" s="20"/>
      <c r="H30" s="20"/>
      <c r="I30" s="20"/>
    </row>
    <row r="31" spans="1:9" x14ac:dyDescent="0.25">
      <c r="A31" s="1"/>
      <c r="B31" s="2"/>
      <c r="C31" s="10"/>
      <c r="D31" s="10"/>
      <c r="E31" s="20"/>
      <c r="F31" s="20"/>
      <c r="G31" s="20"/>
      <c r="H31" s="20"/>
      <c r="I31" s="20"/>
    </row>
    <row r="32" spans="1:9" x14ac:dyDescent="0.25">
      <c r="A32" s="1"/>
      <c r="B32" s="2"/>
      <c r="C32" s="10"/>
      <c r="D32" s="10"/>
    </row>
    <row r="33" spans="1:4" x14ac:dyDescent="0.25">
      <c r="A33" s="2"/>
      <c r="B33" s="2"/>
      <c r="C33" s="10"/>
      <c r="D33" s="10"/>
    </row>
    <row r="34" spans="1:4" x14ac:dyDescent="0.25">
      <c r="A34" s="2"/>
      <c r="B34" s="2"/>
      <c r="C34" s="10"/>
      <c r="D34" s="10"/>
    </row>
    <row r="35" spans="1:4" x14ac:dyDescent="0.25">
      <c r="A35" s="2"/>
      <c r="B35" s="2"/>
      <c r="C35" s="10"/>
      <c r="D35" s="10"/>
    </row>
    <row r="36" spans="1:4" x14ac:dyDescent="0.25">
      <c r="A36" s="51"/>
      <c r="B36" s="51"/>
      <c r="C36" s="52"/>
      <c r="D36" s="52"/>
    </row>
    <row r="37" spans="1:4" x14ac:dyDescent="0.25">
      <c r="A37" s="51"/>
      <c r="B37" s="51"/>
      <c r="C37" s="52"/>
      <c r="D37" s="52"/>
    </row>
    <row r="38" spans="1:4" ht="14.25" thickBot="1" x14ac:dyDescent="0.3">
      <c r="A38" s="3"/>
      <c r="B38" s="3"/>
      <c r="C38" s="11"/>
      <c r="D38" s="11"/>
    </row>
    <row r="39" spans="1:4" ht="14.25" thickBot="1" x14ac:dyDescent="0.3">
      <c r="A39" s="48" t="s">
        <v>49</v>
      </c>
      <c r="B39" s="48">
        <f>SUM(B24:B38)</f>
        <v>12</v>
      </c>
      <c r="C39" s="112" t="s">
        <v>54</v>
      </c>
      <c r="D39" s="49"/>
    </row>
    <row r="40" spans="1:4" ht="15" thickBot="1" x14ac:dyDescent="0.35">
      <c r="A40" s="50"/>
      <c r="B40" s="50"/>
      <c r="C40" s="50"/>
      <c r="D40" s="50"/>
    </row>
    <row r="41" spans="1:4" ht="18.75" thickBot="1" x14ac:dyDescent="0.3">
      <c r="A41" s="43" t="s">
        <v>44</v>
      </c>
      <c r="B41" s="44">
        <v>4</v>
      </c>
      <c r="C41" s="45" t="s">
        <v>56</v>
      </c>
      <c r="D41" s="54">
        <f>$D$22+7</f>
        <v>44456</v>
      </c>
    </row>
    <row r="42" spans="1:4" ht="27.75" thickBot="1" x14ac:dyDescent="0.3">
      <c r="A42" s="46" t="s">
        <v>45</v>
      </c>
      <c r="B42" s="47" t="s">
        <v>46</v>
      </c>
      <c r="C42" s="46" t="s">
        <v>47</v>
      </c>
      <c r="D42" s="46" t="s">
        <v>48</v>
      </c>
    </row>
    <row r="43" spans="1:4" ht="27" x14ac:dyDescent="0.25">
      <c r="A43" s="5" t="s">
        <v>22</v>
      </c>
      <c r="B43" s="4">
        <v>6</v>
      </c>
      <c r="C43" s="113" t="s">
        <v>66</v>
      </c>
      <c r="D43" s="9"/>
    </row>
    <row r="44" spans="1:4" x14ac:dyDescent="0.25">
      <c r="A44" s="1" t="s">
        <v>23</v>
      </c>
      <c r="B44" s="2">
        <v>5</v>
      </c>
      <c r="C44" s="114" t="s">
        <v>68</v>
      </c>
      <c r="D44" s="10"/>
    </row>
    <row r="45" spans="1:4" x14ac:dyDescent="0.25">
      <c r="A45" s="1" t="s">
        <v>25</v>
      </c>
      <c r="B45" s="2">
        <v>1</v>
      </c>
      <c r="C45" s="114" t="s">
        <v>65</v>
      </c>
      <c r="D45" s="10"/>
    </row>
    <row r="46" spans="1:4" x14ac:dyDescent="0.25">
      <c r="A46" s="1"/>
      <c r="B46" s="2"/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9" x14ac:dyDescent="0.25">
      <c r="A49" s="1"/>
      <c r="B49" s="2"/>
      <c r="C49" s="10"/>
      <c r="D49" s="10"/>
    </row>
    <row r="50" spans="1:9" x14ac:dyDescent="0.25">
      <c r="A50" s="1"/>
      <c r="B50" s="2"/>
      <c r="C50" s="10"/>
      <c r="D50" s="10"/>
    </row>
    <row r="51" spans="1:9" x14ac:dyDescent="0.25">
      <c r="A51" s="1"/>
      <c r="B51" s="2"/>
      <c r="C51" s="10"/>
      <c r="D51" s="10"/>
    </row>
    <row r="52" spans="1:9" x14ac:dyDescent="0.25">
      <c r="A52" s="2"/>
      <c r="B52" s="2"/>
      <c r="C52" s="10"/>
      <c r="D52" s="10"/>
    </row>
    <row r="53" spans="1:9" x14ac:dyDescent="0.25">
      <c r="A53" s="2"/>
      <c r="B53" s="2"/>
      <c r="C53" s="10"/>
      <c r="D53" s="10"/>
    </row>
    <row r="54" spans="1:9" x14ac:dyDescent="0.25">
      <c r="A54" s="2"/>
      <c r="B54" s="2"/>
      <c r="C54" s="10"/>
      <c r="D54" s="10"/>
    </row>
    <row r="55" spans="1:9" x14ac:dyDescent="0.25">
      <c r="A55" s="51"/>
      <c r="B55" s="51"/>
      <c r="C55" s="52"/>
      <c r="D55" s="52"/>
    </row>
    <row r="56" spans="1:9" x14ac:dyDescent="0.25">
      <c r="A56" s="51"/>
      <c r="B56" s="51"/>
      <c r="C56" s="52"/>
      <c r="D56" s="52"/>
    </row>
    <row r="57" spans="1:9" ht="14.25" thickBot="1" x14ac:dyDescent="0.3">
      <c r="A57" s="3"/>
      <c r="B57" s="3"/>
      <c r="C57" s="11"/>
      <c r="D57" s="11"/>
    </row>
    <row r="58" spans="1:9" ht="14.25" thickBot="1" x14ac:dyDescent="0.3">
      <c r="A58" s="48" t="s">
        <v>49</v>
      </c>
      <c r="B58" s="48">
        <f>SUM(B43:B57)</f>
        <v>12</v>
      </c>
      <c r="C58" s="112" t="s">
        <v>54</v>
      </c>
      <c r="D58" s="49"/>
    </row>
    <row r="59" spans="1:9" ht="15" thickBot="1" x14ac:dyDescent="0.35">
      <c r="A59" s="50"/>
      <c r="B59" s="50"/>
      <c r="C59" s="50"/>
      <c r="D59" s="50"/>
    </row>
    <row r="60" spans="1:9" ht="18.75" thickBot="1" x14ac:dyDescent="0.3">
      <c r="A60" s="43" t="s">
        <v>44</v>
      </c>
      <c r="B60" s="44">
        <v>5</v>
      </c>
      <c r="C60" s="45" t="s">
        <v>56</v>
      </c>
      <c r="D60" s="54">
        <f>$D$41+7</f>
        <v>44463</v>
      </c>
    </row>
    <row r="61" spans="1:9" ht="27.75" thickBot="1" x14ac:dyDescent="0.3">
      <c r="A61" s="46" t="s">
        <v>45</v>
      </c>
      <c r="B61" s="47" t="s">
        <v>46</v>
      </c>
      <c r="C61" s="46" t="s">
        <v>47</v>
      </c>
      <c r="D61" s="46" t="s">
        <v>48</v>
      </c>
    </row>
    <row r="62" spans="1:9" x14ac:dyDescent="0.25">
      <c r="A62" s="5" t="s">
        <v>15</v>
      </c>
      <c r="B62" s="4">
        <v>12</v>
      </c>
      <c r="C62" s="113" t="s">
        <v>67</v>
      </c>
      <c r="D62" s="9"/>
      <c r="E62" s="20"/>
      <c r="F62" s="37"/>
      <c r="G62" s="38"/>
      <c r="H62" s="38"/>
      <c r="I62" s="20"/>
    </row>
    <row r="63" spans="1:9" x14ac:dyDescent="0.25">
      <c r="A63" s="1"/>
      <c r="B63" s="2"/>
      <c r="C63" s="114"/>
      <c r="D63" s="10"/>
    </row>
    <row r="64" spans="1:9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2"/>
      <c r="B72" s="2"/>
      <c r="C72" s="10"/>
      <c r="D72" s="10"/>
    </row>
    <row r="73" spans="1:4" x14ac:dyDescent="0.25">
      <c r="A73" s="2"/>
      <c r="B73" s="2"/>
      <c r="C73" s="10"/>
      <c r="D73" s="10"/>
    </row>
    <row r="74" spans="1:4" x14ac:dyDescent="0.25">
      <c r="A74" s="51"/>
      <c r="B74" s="51"/>
      <c r="C74" s="52"/>
      <c r="D74" s="52"/>
    </row>
    <row r="75" spans="1:4" x14ac:dyDescent="0.25">
      <c r="A75" s="51"/>
      <c r="B75" s="51"/>
      <c r="C75" s="52"/>
      <c r="D75" s="52"/>
    </row>
    <row r="76" spans="1:4" ht="14.25" thickBot="1" x14ac:dyDescent="0.3">
      <c r="A76" s="3"/>
      <c r="B76" s="3"/>
      <c r="C76" s="11"/>
      <c r="D76" s="11"/>
    </row>
    <row r="77" spans="1:4" ht="14.25" thickBot="1" x14ac:dyDescent="0.3">
      <c r="A77" s="48" t="s">
        <v>49</v>
      </c>
      <c r="B77" s="48">
        <f>SUM(B62:B76)</f>
        <v>12</v>
      </c>
      <c r="C77" s="112" t="s">
        <v>54</v>
      </c>
      <c r="D77" s="49"/>
    </row>
    <row r="78" spans="1:4" ht="15" thickBot="1" x14ac:dyDescent="0.35">
      <c r="A78" s="50"/>
      <c r="B78" s="50"/>
      <c r="C78" s="50"/>
      <c r="D78" s="50"/>
    </row>
    <row r="79" spans="1:4" ht="18.75" thickBot="1" x14ac:dyDescent="0.3">
      <c r="A79" s="43" t="s">
        <v>44</v>
      </c>
      <c r="B79" s="44">
        <v>6</v>
      </c>
      <c r="C79" s="45" t="s">
        <v>56</v>
      </c>
      <c r="D79" s="54">
        <f>$D$60+7</f>
        <v>44470</v>
      </c>
    </row>
    <row r="80" spans="1:4" ht="27.75" thickBot="1" x14ac:dyDescent="0.3">
      <c r="A80" s="46" t="s">
        <v>45</v>
      </c>
      <c r="B80" s="47" t="s">
        <v>46</v>
      </c>
      <c r="C80" s="46" t="s">
        <v>47</v>
      </c>
      <c r="D80" s="46" t="s">
        <v>48</v>
      </c>
    </row>
    <row r="81" spans="1:4" x14ac:dyDescent="0.25">
      <c r="A81" s="5" t="s">
        <v>23</v>
      </c>
      <c r="B81" s="4">
        <v>11</v>
      </c>
      <c r="C81" s="113" t="s">
        <v>69</v>
      </c>
      <c r="D81" s="9"/>
    </row>
    <row r="82" spans="1:4" x14ac:dyDescent="0.25">
      <c r="A82" s="1" t="s">
        <v>25</v>
      </c>
      <c r="B82" s="2">
        <v>1</v>
      </c>
      <c r="C82" s="114" t="s">
        <v>70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2"/>
      <c r="B91" s="2"/>
      <c r="C91" s="10"/>
      <c r="D91" s="10"/>
    </row>
    <row r="92" spans="1:4" x14ac:dyDescent="0.25">
      <c r="A92" s="2"/>
      <c r="B92" s="2"/>
      <c r="C92" s="10"/>
      <c r="D92" s="10"/>
    </row>
    <row r="93" spans="1:4" x14ac:dyDescent="0.25">
      <c r="A93" s="51"/>
      <c r="B93" s="51"/>
      <c r="C93" s="52"/>
      <c r="D93" s="52"/>
    </row>
    <row r="94" spans="1:4" x14ac:dyDescent="0.25">
      <c r="A94" s="51"/>
      <c r="B94" s="51"/>
      <c r="C94" s="52"/>
      <c r="D94" s="52"/>
    </row>
    <row r="95" spans="1:4" ht="14.25" thickBot="1" x14ac:dyDescent="0.3">
      <c r="A95" s="3"/>
      <c r="B95" s="3"/>
      <c r="C95" s="11"/>
      <c r="D95" s="11"/>
    </row>
    <row r="96" spans="1:4" ht="14.25" thickBot="1" x14ac:dyDescent="0.3">
      <c r="A96" s="48" t="s">
        <v>49</v>
      </c>
      <c r="B96" s="48">
        <f>SUM(B81:B95)</f>
        <v>12</v>
      </c>
      <c r="C96" s="112" t="s">
        <v>54</v>
      </c>
      <c r="D96" s="49"/>
    </row>
    <row r="97" spans="1:4" ht="15" thickBot="1" x14ac:dyDescent="0.35">
      <c r="A97" s="50"/>
      <c r="B97" s="50"/>
      <c r="C97" s="50"/>
      <c r="D97" s="50"/>
    </row>
    <row r="98" spans="1:4" ht="18.75" thickBot="1" x14ac:dyDescent="0.3">
      <c r="A98" s="43" t="s">
        <v>44</v>
      </c>
      <c r="B98" s="44">
        <v>7</v>
      </c>
      <c r="C98" s="45" t="s">
        <v>56</v>
      </c>
      <c r="D98" s="54">
        <f>$D$79+7</f>
        <v>44477</v>
      </c>
    </row>
    <row r="99" spans="1:4" ht="27.75" thickBot="1" x14ac:dyDescent="0.3">
      <c r="A99" s="46" t="s">
        <v>45</v>
      </c>
      <c r="B99" s="47" t="s">
        <v>46</v>
      </c>
      <c r="C99" s="46" t="s">
        <v>47</v>
      </c>
      <c r="D99" s="46" t="s">
        <v>48</v>
      </c>
    </row>
    <row r="100" spans="1:4" x14ac:dyDescent="0.25">
      <c r="A100" s="5"/>
      <c r="B100" s="4"/>
      <c r="C100" s="9"/>
      <c r="D100" s="9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2"/>
      <c r="B110" s="2"/>
      <c r="C110" s="10"/>
      <c r="D110" s="10"/>
    </row>
    <row r="111" spans="1:4" x14ac:dyDescent="0.25">
      <c r="A111" s="2"/>
      <c r="B111" s="2"/>
      <c r="C111" s="10"/>
      <c r="D111" s="10"/>
    </row>
    <row r="112" spans="1:4" x14ac:dyDescent="0.25">
      <c r="A112" s="51"/>
      <c r="B112" s="51"/>
      <c r="C112" s="52"/>
      <c r="D112" s="52"/>
    </row>
    <row r="113" spans="1:4" x14ac:dyDescent="0.25">
      <c r="A113" s="51"/>
      <c r="B113" s="51"/>
      <c r="C113" s="52"/>
      <c r="D113" s="52"/>
    </row>
    <row r="114" spans="1:4" ht="14.25" thickBot="1" x14ac:dyDescent="0.3">
      <c r="A114" s="3"/>
      <c r="B114" s="3"/>
      <c r="C114" s="11"/>
      <c r="D114" s="11"/>
    </row>
    <row r="115" spans="1:4" ht="14.25" thickBot="1" x14ac:dyDescent="0.3">
      <c r="A115" s="48" t="s">
        <v>49</v>
      </c>
      <c r="B115" s="48">
        <f>SUM(B100:B114)</f>
        <v>0</v>
      </c>
      <c r="C115" s="112" t="s">
        <v>54</v>
      </c>
      <c r="D115" s="49"/>
    </row>
    <row r="116" spans="1:4" ht="15" thickBot="1" x14ac:dyDescent="0.35">
      <c r="A116" s="50"/>
      <c r="B116" s="50"/>
      <c r="C116" s="50"/>
      <c r="D116" s="50"/>
    </row>
    <row r="117" spans="1:4" ht="18.75" thickBot="1" x14ac:dyDescent="0.3">
      <c r="A117" s="43" t="s">
        <v>44</v>
      </c>
      <c r="B117" s="44">
        <v>8</v>
      </c>
      <c r="C117" s="45" t="s">
        <v>56</v>
      </c>
      <c r="D117" s="54">
        <f>$D$98+7</f>
        <v>44484</v>
      </c>
    </row>
    <row r="118" spans="1:4" ht="27.75" thickBot="1" x14ac:dyDescent="0.3">
      <c r="A118" s="46" t="s">
        <v>45</v>
      </c>
      <c r="B118" s="47" t="s">
        <v>46</v>
      </c>
      <c r="C118" s="46" t="s">
        <v>47</v>
      </c>
      <c r="D118" s="46" t="s">
        <v>48</v>
      </c>
    </row>
    <row r="119" spans="1:4" x14ac:dyDescent="0.25">
      <c r="A119" s="5"/>
      <c r="B119" s="4"/>
      <c r="C119" s="9"/>
      <c r="D119" s="9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2"/>
      <c r="B129" s="2"/>
      <c r="C129" s="10"/>
      <c r="D129" s="10"/>
    </row>
    <row r="130" spans="1:4" x14ac:dyDescent="0.25">
      <c r="A130" s="2"/>
      <c r="B130" s="2"/>
      <c r="C130" s="10"/>
      <c r="D130" s="10"/>
    </row>
    <row r="131" spans="1:4" x14ac:dyDescent="0.25">
      <c r="A131" s="51"/>
      <c r="B131" s="51"/>
      <c r="C131" s="52"/>
      <c r="D131" s="52"/>
    </row>
    <row r="132" spans="1:4" x14ac:dyDescent="0.25">
      <c r="A132" s="51"/>
      <c r="B132" s="51"/>
      <c r="C132" s="52"/>
      <c r="D132" s="52"/>
    </row>
    <row r="133" spans="1:4" ht="14.25" thickBot="1" x14ac:dyDescent="0.3">
      <c r="A133" s="3"/>
      <c r="B133" s="3"/>
      <c r="C133" s="11"/>
      <c r="D133" s="11"/>
    </row>
    <row r="134" spans="1:4" ht="14.25" thickBot="1" x14ac:dyDescent="0.3">
      <c r="A134" s="48" t="s">
        <v>49</v>
      </c>
      <c r="B134" s="48">
        <f>SUM(B119:B133)</f>
        <v>0</v>
      </c>
      <c r="C134" s="112" t="s">
        <v>54</v>
      </c>
      <c r="D134" s="49"/>
    </row>
    <row r="135" spans="1:4" ht="15" thickBot="1" x14ac:dyDescent="0.35">
      <c r="A135" s="50"/>
      <c r="B135" s="50"/>
      <c r="C135" s="50"/>
      <c r="D135" s="50"/>
    </row>
    <row r="136" spans="1:4" ht="18.75" thickBot="1" x14ac:dyDescent="0.3">
      <c r="A136" s="43" t="s">
        <v>44</v>
      </c>
      <c r="B136" s="44">
        <v>9</v>
      </c>
      <c r="C136" s="45" t="s">
        <v>56</v>
      </c>
      <c r="D136" s="54">
        <f>$D$117+7</f>
        <v>44491</v>
      </c>
    </row>
    <row r="137" spans="1:4" ht="27.75" thickBot="1" x14ac:dyDescent="0.3">
      <c r="A137" s="46" t="s">
        <v>45</v>
      </c>
      <c r="B137" s="47" t="s">
        <v>46</v>
      </c>
      <c r="C137" s="46" t="s">
        <v>47</v>
      </c>
      <c r="D137" s="46" t="s">
        <v>48</v>
      </c>
    </row>
    <row r="138" spans="1:4" x14ac:dyDescent="0.25">
      <c r="A138" s="5"/>
      <c r="B138" s="4"/>
      <c r="C138" s="9"/>
      <c r="D138" s="9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2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51"/>
      <c r="B150" s="51"/>
      <c r="C150" s="52"/>
      <c r="D150" s="52"/>
    </row>
    <row r="151" spans="1:4" x14ac:dyDescent="0.25">
      <c r="A151" s="51"/>
      <c r="B151" s="51"/>
      <c r="C151" s="52"/>
      <c r="D151" s="52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48" t="s">
        <v>49</v>
      </c>
      <c r="B153" s="48">
        <f>SUM(B138:B152)</f>
        <v>0</v>
      </c>
      <c r="C153" s="112" t="s">
        <v>54</v>
      </c>
      <c r="D153" s="49"/>
    </row>
    <row r="154" spans="1:4" ht="15" thickBot="1" x14ac:dyDescent="0.35">
      <c r="A154" s="50"/>
      <c r="B154" s="50"/>
      <c r="C154" s="50"/>
      <c r="D154" s="50"/>
    </row>
    <row r="155" spans="1:4" ht="18.75" thickBot="1" x14ac:dyDescent="0.3">
      <c r="A155" s="43" t="s">
        <v>44</v>
      </c>
      <c r="B155" s="44">
        <v>10</v>
      </c>
      <c r="C155" s="45" t="s">
        <v>56</v>
      </c>
      <c r="D155" s="54">
        <f>$D$136+7</f>
        <v>44498</v>
      </c>
    </row>
    <row r="156" spans="1:4" ht="27.75" thickBot="1" x14ac:dyDescent="0.3">
      <c r="A156" s="46" t="s">
        <v>45</v>
      </c>
      <c r="B156" s="47" t="s">
        <v>46</v>
      </c>
      <c r="C156" s="46" t="s">
        <v>47</v>
      </c>
      <c r="D156" s="46" t="s">
        <v>48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2"/>
      <c r="B167" s="2"/>
      <c r="C167" s="10"/>
      <c r="D167" s="10"/>
    </row>
    <row r="168" spans="1:4" x14ac:dyDescent="0.25">
      <c r="A168" s="2"/>
      <c r="B168" s="2"/>
      <c r="C168" s="10"/>
      <c r="D168" s="10"/>
    </row>
    <row r="169" spans="1:4" x14ac:dyDescent="0.25">
      <c r="A169" s="51"/>
      <c r="B169" s="51"/>
      <c r="C169" s="52"/>
      <c r="D169" s="52"/>
    </row>
    <row r="170" spans="1:4" x14ac:dyDescent="0.25">
      <c r="A170" s="51"/>
      <c r="B170" s="51"/>
      <c r="C170" s="52"/>
      <c r="D170" s="52"/>
    </row>
    <row r="171" spans="1:4" ht="14.25" thickBot="1" x14ac:dyDescent="0.3">
      <c r="A171" s="3"/>
      <c r="B171" s="3"/>
      <c r="C171" s="11"/>
      <c r="D171" s="11"/>
    </row>
    <row r="172" spans="1:4" ht="14.25" thickBot="1" x14ac:dyDescent="0.3">
      <c r="A172" s="48" t="s">
        <v>49</v>
      </c>
      <c r="B172" s="48">
        <f>SUM(B157:B171)</f>
        <v>0</v>
      </c>
      <c r="C172" s="112" t="s">
        <v>54</v>
      </c>
      <c r="D172" s="49"/>
    </row>
    <row r="173" spans="1:4" ht="15" thickBot="1" x14ac:dyDescent="0.35">
      <c r="A173" s="50"/>
      <c r="B173" s="50"/>
      <c r="C173" s="50"/>
      <c r="D173" s="50"/>
    </row>
    <row r="174" spans="1:4" ht="18.75" thickBot="1" x14ac:dyDescent="0.3">
      <c r="A174" s="43" t="s">
        <v>44</v>
      </c>
      <c r="B174" s="44">
        <v>11</v>
      </c>
      <c r="C174" s="45" t="s">
        <v>56</v>
      </c>
      <c r="D174" s="54">
        <f>$D$155+7</f>
        <v>44505</v>
      </c>
    </row>
    <row r="175" spans="1:4" ht="27.75" thickBot="1" x14ac:dyDescent="0.3">
      <c r="A175" s="46" t="s">
        <v>45</v>
      </c>
      <c r="B175" s="47" t="s">
        <v>46</v>
      </c>
      <c r="C175" s="46" t="s">
        <v>47</v>
      </c>
      <c r="D175" s="46" t="s">
        <v>48</v>
      </c>
    </row>
    <row r="176" spans="1:4" x14ac:dyDescent="0.25">
      <c r="A176" s="5"/>
      <c r="B176" s="4"/>
      <c r="C176" s="9"/>
      <c r="D176" s="9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2"/>
      <c r="B186" s="2"/>
      <c r="C186" s="10"/>
      <c r="D186" s="10"/>
    </row>
    <row r="187" spans="1:4" x14ac:dyDescent="0.25">
      <c r="A187" s="2"/>
      <c r="B187" s="2"/>
      <c r="C187" s="10"/>
      <c r="D187" s="10"/>
    </row>
    <row r="188" spans="1:4" x14ac:dyDescent="0.25">
      <c r="A188" s="51"/>
      <c r="B188" s="51"/>
      <c r="C188" s="52"/>
      <c r="D188" s="52"/>
    </row>
    <row r="189" spans="1:4" x14ac:dyDescent="0.25">
      <c r="A189" s="51"/>
      <c r="B189" s="51"/>
      <c r="C189" s="52"/>
      <c r="D189" s="52"/>
    </row>
    <row r="190" spans="1:4" ht="14.25" thickBot="1" x14ac:dyDescent="0.3">
      <c r="A190" s="3"/>
      <c r="B190" s="3"/>
      <c r="C190" s="11"/>
      <c r="D190" s="11"/>
    </row>
    <row r="191" spans="1:4" ht="14.25" thickBot="1" x14ac:dyDescent="0.3">
      <c r="A191" s="48" t="s">
        <v>49</v>
      </c>
      <c r="B191" s="48">
        <f>SUM(B176:B190)</f>
        <v>0</v>
      </c>
      <c r="C191" s="112" t="s">
        <v>54</v>
      </c>
      <c r="D191" s="49"/>
    </row>
    <row r="192" spans="1:4" ht="15" thickBot="1" x14ac:dyDescent="0.35">
      <c r="A192" s="50"/>
      <c r="B192" s="50"/>
      <c r="C192" s="50"/>
      <c r="D192" s="50"/>
    </row>
    <row r="193" spans="1:4" ht="18.75" thickBot="1" x14ac:dyDescent="0.3">
      <c r="A193" s="43" t="s">
        <v>44</v>
      </c>
      <c r="B193" s="44">
        <v>12</v>
      </c>
      <c r="C193" s="45" t="s">
        <v>56</v>
      </c>
      <c r="D193" s="54">
        <f>$D$174+7</f>
        <v>44512</v>
      </c>
    </row>
    <row r="194" spans="1:4" ht="27.75" thickBot="1" x14ac:dyDescent="0.3">
      <c r="A194" s="46" t="s">
        <v>45</v>
      </c>
      <c r="B194" s="47" t="s">
        <v>46</v>
      </c>
      <c r="C194" s="46" t="s">
        <v>47</v>
      </c>
      <c r="D194" s="46" t="s">
        <v>48</v>
      </c>
    </row>
    <row r="195" spans="1:4" x14ac:dyDescent="0.25">
      <c r="A195" s="5"/>
      <c r="B195" s="4"/>
      <c r="C195" s="9"/>
      <c r="D195" s="9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51"/>
      <c r="B207" s="51"/>
      <c r="C207" s="52"/>
      <c r="D207" s="52"/>
    </row>
    <row r="208" spans="1:4" x14ac:dyDescent="0.25">
      <c r="A208" s="51"/>
      <c r="B208" s="51"/>
      <c r="C208" s="52"/>
      <c r="D208" s="52"/>
    </row>
    <row r="209" spans="1:4" ht="14.25" thickBot="1" x14ac:dyDescent="0.3">
      <c r="A209" s="3"/>
      <c r="B209" s="3"/>
      <c r="C209" s="11"/>
      <c r="D209" s="11"/>
    </row>
    <row r="210" spans="1:4" ht="14.25" thickBot="1" x14ac:dyDescent="0.3">
      <c r="A210" s="48" t="s">
        <v>49</v>
      </c>
      <c r="B210" s="48">
        <f>SUM(B195:B209)</f>
        <v>0</v>
      </c>
      <c r="C210" s="112" t="s">
        <v>54</v>
      </c>
      <c r="D210" s="49"/>
    </row>
    <row r="211" spans="1:4" ht="15" thickBot="1" x14ac:dyDescent="0.35">
      <c r="A211" s="50"/>
      <c r="B211" s="50"/>
      <c r="C211" s="50"/>
      <c r="D211" s="50"/>
    </row>
    <row r="212" spans="1:4" ht="18.75" thickBot="1" x14ac:dyDescent="0.3">
      <c r="A212" s="43" t="s">
        <v>44</v>
      </c>
      <c r="B212" s="44">
        <v>13</v>
      </c>
      <c r="C212" s="45" t="s">
        <v>56</v>
      </c>
      <c r="D212" s="54">
        <f>$D$193+7</f>
        <v>44519</v>
      </c>
    </row>
    <row r="213" spans="1:4" ht="27.75" thickBot="1" x14ac:dyDescent="0.3">
      <c r="A213" s="46" t="s">
        <v>45</v>
      </c>
      <c r="B213" s="47" t="s">
        <v>46</v>
      </c>
      <c r="C213" s="46" t="s">
        <v>47</v>
      </c>
      <c r="D213" s="46" t="s">
        <v>48</v>
      </c>
    </row>
    <row r="214" spans="1:4" x14ac:dyDescent="0.25">
      <c r="A214" s="5"/>
      <c r="B214" s="4"/>
      <c r="C214" s="9"/>
      <c r="D214" s="9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1"/>
      <c r="B221" s="2"/>
      <c r="C221" s="10"/>
      <c r="D221" s="10"/>
    </row>
    <row r="222" spans="1:4" x14ac:dyDescent="0.25">
      <c r="A222" s="1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2"/>
      <c r="B224" s="2"/>
      <c r="C224" s="10"/>
      <c r="D224" s="10"/>
    </row>
    <row r="225" spans="1:4" x14ac:dyDescent="0.25">
      <c r="A225" s="2"/>
      <c r="B225" s="2"/>
      <c r="C225" s="10"/>
      <c r="D225" s="10"/>
    </row>
    <row r="226" spans="1:4" x14ac:dyDescent="0.25">
      <c r="A226" s="51"/>
      <c r="B226" s="51"/>
      <c r="C226" s="52"/>
      <c r="D226" s="52"/>
    </row>
    <row r="227" spans="1:4" x14ac:dyDescent="0.25">
      <c r="A227" s="51"/>
      <c r="B227" s="51"/>
      <c r="C227" s="52"/>
      <c r="D227" s="52"/>
    </row>
    <row r="228" spans="1:4" ht="14.25" thickBot="1" x14ac:dyDescent="0.3">
      <c r="A228" s="3"/>
      <c r="B228" s="3"/>
      <c r="C228" s="11"/>
      <c r="D228" s="11"/>
    </row>
    <row r="229" spans="1:4" ht="14.25" thickBot="1" x14ac:dyDescent="0.3">
      <c r="A229" s="48" t="s">
        <v>49</v>
      </c>
      <c r="B229" s="48">
        <f>SUM(B214:B228)</f>
        <v>0</v>
      </c>
      <c r="C229" s="112" t="s">
        <v>54</v>
      </c>
      <c r="D229" s="49"/>
    </row>
    <row r="230" spans="1:4" ht="14.25" x14ac:dyDescent="0.3">
      <c r="A230" s="50"/>
      <c r="B230" s="50"/>
      <c r="C230" s="50"/>
      <c r="D230" s="50"/>
    </row>
    <row r="231" spans="1:4" x14ac:dyDescent="0.25">
      <c r="A231" s="89" t="s">
        <v>55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7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19:F26 B3:B9 B14:B19 B24:B38 B214:B228 B43:B57 B81:B95 B100:B114 B119:B133 B138:B152 B157:B171 B176:B190 B195:B209 B62:B76 F6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0 B39 B58 B77 B96 B115 B134 B153 B172 B191 B210 B229">
      <formula1>0</formula1>
      <formula2>NbPerWeek * NbQuartPer</formula2>
    </dataValidation>
    <dataValidation type="list" allowBlank="1" showInputMessage="1" showErrorMessage="1" sqref="A3:A9 A14:A19 A24:A38 A214:A228 A43:A57 A81:A95 A100:A114 A119:A133 A138:A152 A157:A171 A176:A190 A195:A209 A62:A76">
      <formula1>lstTasks</formula1>
    </dataValidation>
  </dataValidations>
  <hyperlinks>
    <hyperlink ref="D5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632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6321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keywords/>
  <dc:description/>
  <cp:lastModifiedBy>Samuel Hörlerpoves</cp:lastModifiedBy>
  <cp:revision/>
  <dcterms:created xsi:type="dcterms:W3CDTF">1996-10-21T11:03:58Z</dcterms:created>
  <dcterms:modified xsi:type="dcterms:W3CDTF">2021-10-01T13:24:26Z</dcterms:modified>
  <cp:category/>
  <cp:contentStatus/>
</cp:coreProperties>
</file>